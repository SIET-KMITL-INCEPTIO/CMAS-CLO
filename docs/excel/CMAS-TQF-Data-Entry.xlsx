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หน้าปก" sheetId="1" state="visible" r:id="rId1"/>
    <sheet name="1 ข้อมูลรายวิชา" sheetId="2" state="visible" r:id="rId2"/>
    <sheet name="2 CLO" sheetId="3" state="visible" r:id="rId3"/>
    <sheet name="3 แผนประเมิน มคอ.3" sheetId="4" state="visible" r:id="rId4"/>
    <sheet name="4 เมทริกซ์ CLO x กิจกรรม" sheetId="5" state="visible" r:id="rId5"/>
    <sheet name="5 รายชื่อนักศึกษา" sheetId="6" state="visible" r:id="rId6"/>
    <sheet name="6 กรอกคะแนน" sheetId="7" state="visible" r:id="rId7"/>
    <sheet name="7 ผลการบรรลุ CLO" sheetId="8" state="visible" r:id="rId8"/>
    <sheet name="8 ตัดเกรด" sheetId="9" state="visible" r:id="rId9"/>
    <sheet name="9 รายงาน มคอ.5" sheetId="10" state="visible" r:id="rId10"/>
    <sheet name="10 ตารางฐานข้อมูล" sheetId="11" state="visible" r:id="rId11"/>
    <sheet name="11 แผนที่ UI-DB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 %&quot;"/>
    <numFmt numFmtId="165" formatCode="0.0000"/>
  </numFmts>
  <fonts count="38">
    <font>
      <name val="Calibri"/>
      <family val="2"/>
      <color theme="1"/>
      <sz val="11"/>
      <scheme val="minor"/>
    </font>
    <font>
      <name val="Calibri"/>
      <b val="1"/>
      <color rgb="0019151B"/>
      <sz val="15"/>
    </font>
    <font>
      <name val="Calibri"/>
      <color rgb="001A1C1D"/>
      <sz val="12"/>
    </font>
    <font>
      <name val="Calibri"/>
      <color rgb="004A454A"/>
      <sz val="11"/>
    </font>
    <font>
      <name val="Calibri"/>
      <i val="1"/>
      <color rgb="004A454A"/>
      <sz val="11"/>
    </font>
    <font>
      <name val="Calibri"/>
      <b val="1"/>
      <color rgb="0019151B"/>
      <sz val="20"/>
    </font>
    <font>
      <name val="Calibri"/>
      <i val="1"/>
      <color rgb="004A454A"/>
      <sz val="12"/>
    </font>
    <font>
      <name val="Calibri"/>
      <b val="1"/>
      <color rgb="008A5A00"/>
      <sz val="13"/>
    </font>
    <font>
      <name val="Calibri"/>
      <b val="1"/>
      <color rgb="00FFFFFF"/>
      <sz val="10"/>
    </font>
    <font>
      <name val="Calibri"/>
      <b val="1"/>
      <color rgb="001A1C1D"/>
      <sz val="10"/>
    </font>
    <font>
      <name val="Calibri"/>
      <color rgb="001A1C1D"/>
      <sz val="10"/>
    </font>
    <font>
      <name val="Calibri"/>
      <b val="1"/>
      <color rgb="0019151B"/>
      <sz val="12"/>
    </font>
    <font>
      <i val="1"/>
      <color rgb="004A454A"/>
      <sz val="9.5"/>
    </font>
    <font>
      <name val="Calibri"/>
      <b val="1"/>
      <color rgb="001A56C4"/>
      <sz val="16"/>
    </font>
    <font>
      <name val="Calibri"/>
      <i val="1"/>
      <color rgb="004A454A"/>
      <sz val="10.5"/>
    </font>
    <font>
      <name val="Consolas"/>
      <color rgb="004A454A"/>
      <sz val="9.5"/>
    </font>
    <font>
      <name val="Calibri"/>
      <color rgb="004A454A"/>
      <sz val="9.5"/>
    </font>
    <font>
      <name val="Calibri"/>
      <b val="1"/>
      <color rgb="008A5A00"/>
      <sz val="16"/>
    </font>
    <font>
      <b val="1"/>
      <color rgb="001A1C1D"/>
      <sz val="11"/>
    </font>
    <font>
      <b val="1"/>
      <color rgb="008A5A00"/>
      <sz val="10"/>
    </font>
    <font>
      <i val="1"/>
      <color rgb="00C5221F"/>
      <sz val="9.5"/>
    </font>
    <font>
      <color rgb="00A9A4B0"/>
      <sz val="10"/>
    </font>
    <font>
      <b val="1"/>
      <color rgb="004A454A"/>
      <sz val="10"/>
    </font>
    <font>
      <b val="1"/>
      <color rgb="00137333"/>
      <sz val="10"/>
    </font>
    <font>
      <i val="1"/>
      <color rgb="008A5A00"/>
      <sz val="9.5"/>
    </font>
    <font>
      <name val="Calibri"/>
      <b val="1"/>
      <color rgb="00137333"/>
      <sz val="16"/>
    </font>
    <font>
      <name val="Calibri"/>
      <b val="1"/>
      <color rgb="00C5221F"/>
      <sz val="10"/>
    </font>
    <font>
      <name val="Calibri"/>
      <b val="1"/>
      <color rgb="0044405A"/>
      <sz val="16"/>
    </font>
    <font>
      <name val="Calibri"/>
      <b val="1"/>
      <color rgb="00FFFFFF"/>
      <sz val="12"/>
    </font>
    <font>
      <name val="Consolas"/>
      <color rgb="004A454A"/>
      <sz val="8"/>
    </font>
    <font>
      <b val="1"/>
      <color rgb="00137333"/>
      <sz val="8.5"/>
    </font>
    <font>
      <b val="1"/>
      <color rgb="008A5A00"/>
      <sz val="8.5"/>
    </font>
    <font>
      <b val="1"/>
      <color rgb="004A454A"/>
      <sz val="8.5"/>
    </font>
    <font>
      <b val="1"/>
      <color rgb="001A56C4"/>
      <sz val="8.5"/>
    </font>
    <font>
      <b val="1"/>
      <color rgb="006B6478"/>
      <sz val="8.5"/>
    </font>
    <font>
      <name val="Calibri"/>
      <b val="1"/>
      <color rgb="0019151B"/>
      <sz val="16"/>
    </font>
    <font>
      <b val="1"/>
      <color rgb="0044405A"/>
      <sz val="10"/>
    </font>
    <font>
      <b val="1"/>
      <color rgb="00C5221F"/>
      <sz val="10"/>
    </font>
  </fonts>
  <fills count="15">
    <fill>
      <patternFill/>
    </fill>
    <fill>
      <patternFill patternType="gray125"/>
    </fill>
    <fill>
      <patternFill patternType="solid">
        <fgColor rgb="00FEF7E0"/>
      </patternFill>
    </fill>
    <fill>
      <patternFill patternType="solid">
        <fgColor rgb="008A5A00"/>
      </patternFill>
    </fill>
    <fill>
      <patternFill patternType="solid">
        <fgColor rgb="00FFFFFF"/>
      </patternFill>
    </fill>
    <fill>
      <patternFill patternType="solid">
        <fgColor rgb="00F3F3F5"/>
      </patternFill>
    </fill>
    <fill>
      <patternFill patternType="solid">
        <fgColor rgb="001A56C4"/>
      </patternFill>
    </fill>
    <fill>
      <patternFill patternType="solid">
        <fgColor rgb="00EAF1FE"/>
      </patternFill>
    </fill>
    <fill>
      <patternFill patternType="solid">
        <fgColor rgb="00FCE8E6"/>
      </patternFill>
    </fill>
    <fill>
      <patternFill patternType="solid">
        <fgColor rgb="00F5F5F7"/>
      </patternFill>
    </fill>
    <fill>
      <patternFill patternType="solid">
        <fgColor rgb="00E6F4EA"/>
      </patternFill>
    </fill>
    <fill>
      <patternFill patternType="solid">
        <fgColor rgb="00FAFAFC"/>
      </patternFill>
    </fill>
    <fill>
      <patternFill patternType="solid">
        <fgColor rgb="00137333"/>
      </patternFill>
    </fill>
    <fill>
      <patternFill patternType="solid">
        <fgColor rgb="0044405A"/>
      </patternFill>
    </fill>
    <fill>
      <patternFill patternType="solid">
        <fgColor rgb="00F7F6F9"/>
      </patternFill>
    </fill>
  </fills>
  <borders count="6">
    <border>
      <left/>
      <right/>
      <top/>
      <bottom/>
      <diagonal/>
    </border>
    <border>
      <left style="thin">
        <color rgb="00CCC4CA"/>
      </left>
      <right style="thin">
        <color rgb="00CCC4CA"/>
      </right>
      <top style="thin">
        <color rgb="00CCC4CA"/>
      </top>
      <bottom style="thin">
        <color rgb="00CCC4CA"/>
      </bottom>
    </border>
    <border>
      <left/>
      <right/>
      <top style="thin">
        <color rgb="00CCC4CA"/>
      </top>
      <bottom/>
      <diagonal/>
    </border>
    <border>
      <left/>
      <right style="thin">
        <color rgb="00CCC4CA"/>
      </right>
      <top style="thin">
        <color rgb="00CCC4CA"/>
      </top>
      <bottom/>
      <diagonal/>
    </border>
    <border>
      <left/>
      <right/>
      <top style="thin">
        <color rgb="00CCC4CA"/>
      </top>
      <bottom style="thin">
        <color rgb="00CCC4CA"/>
      </bottom>
      <diagonal/>
    </border>
    <border>
      <left/>
      <right style="thin">
        <color rgb="00CCC4CA"/>
      </right>
      <top style="thin">
        <color rgb="00CCC4CA"/>
      </top>
      <bottom style="thin">
        <color rgb="00CCC4CA"/>
      </bottom>
      <diagonal/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0" fontId="10" fillId="5" borderId="1" applyAlignment="1" pivotButton="0" quotePrefix="0" xfId="0">
      <alignment vertical="center" wrapText="1"/>
    </xf>
    <xf numFmtId="0" fontId="11" fillId="0" borderId="0" pivotButton="0" quotePrefix="0" xfId="0"/>
    <xf numFmtId="0" fontId="12" fillId="0" borderId="0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8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vertical="center" wrapText="1"/>
    </xf>
    <xf numFmtId="0" fontId="15" fillId="4" borderId="1" applyAlignment="1" pivotButton="0" quotePrefix="0" xfId="0">
      <alignment vertical="center" wrapText="1"/>
    </xf>
    <xf numFmtId="0" fontId="15" fillId="5" borderId="1" applyAlignment="1" pivotButton="0" quotePrefix="0" xfId="0">
      <alignment vertical="center" wrapText="1"/>
    </xf>
    <xf numFmtId="164" fontId="10" fillId="7" borderId="1" applyAlignment="1" pivotButton="0" quotePrefix="0" xfId="0">
      <alignment horizontal="center" vertical="center"/>
    </xf>
    <xf numFmtId="0" fontId="10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4" borderId="1" applyAlignment="1" pivotButton="0" quotePrefix="0" xfId="0">
      <alignment horizontal="center"/>
    </xf>
    <xf numFmtId="0" fontId="10" fillId="7" borderId="1" applyAlignment="1" pivotButton="0" quotePrefix="0" xfId="0">
      <alignment horizontal="center"/>
    </xf>
    <xf numFmtId="0" fontId="9" fillId="7" borderId="1" applyAlignment="1" pivotButton="0" quotePrefix="0" xfId="0">
      <alignment horizontal="center"/>
    </xf>
    <xf numFmtId="0" fontId="16" fillId="4" borderId="1" applyAlignment="1" pivotButton="0" quotePrefix="0" xfId="0">
      <alignment horizontal="center"/>
    </xf>
    <xf numFmtId="0" fontId="10" fillId="5" borderId="1" applyAlignment="1" pivotButton="0" quotePrefix="0" xfId="0">
      <alignment horizontal="center"/>
    </xf>
    <xf numFmtId="0" fontId="16" fillId="5" borderId="1" applyAlignment="1" pivotButton="0" quotePrefix="0" xfId="0">
      <alignment horizontal="center"/>
    </xf>
    <xf numFmtId="0" fontId="17" fillId="0" borderId="0" pivotButton="0" quotePrefix="0" xfId="0"/>
    <xf numFmtId="0" fontId="16" fillId="4" borderId="1" applyAlignment="1" pivotButton="0" quotePrefix="0" xfId="0">
      <alignment vertical="center" wrapText="1"/>
    </xf>
    <xf numFmtId="0" fontId="10" fillId="8" borderId="1" applyAlignment="1" pivotButton="0" quotePrefix="0" xfId="0">
      <alignment horizontal="center"/>
    </xf>
    <xf numFmtId="0" fontId="16" fillId="5" borderId="1" applyAlignment="1" pivotButton="0" quotePrefix="0" xfId="0">
      <alignment vertical="center" wrapText="1"/>
    </xf>
    <xf numFmtId="0" fontId="9" fillId="2" borderId="1" applyAlignment="1" pivotButton="0" quotePrefix="0" xfId="0">
      <alignment vertical="center" wrapText="1"/>
    </xf>
    <xf numFmtId="0" fontId="18" fillId="2" borderId="1" applyAlignment="1" pivotButton="0" quotePrefix="0" xfId="0">
      <alignment horizontal="center"/>
    </xf>
    <xf numFmtId="0" fontId="19" fillId="2" borderId="1" applyAlignment="1" pivotButton="0" quotePrefix="0" xfId="0">
      <alignment vertical="center" wrapText="1"/>
    </xf>
    <xf numFmtId="0" fontId="20" fillId="8" borderId="0" applyAlignment="1" pivotButton="0" quotePrefix="0" xfId="0">
      <alignment vertical="center" wrapText="1"/>
    </xf>
    <xf numFmtId="0" fontId="21" fillId="9" borderId="1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  <xf numFmtId="0" fontId="22" fillId="4" borderId="1" applyAlignment="1" pivotButton="0" quotePrefix="0" xfId="0">
      <alignment vertical="center" wrapText="1"/>
    </xf>
    <xf numFmtId="0" fontId="9" fillId="5" borderId="1" applyAlignment="1" pivotButton="0" quotePrefix="0" xfId="0">
      <alignment horizontal="center"/>
    </xf>
    <xf numFmtId="0" fontId="22" fillId="5" borderId="1" applyAlignment="1" pivotButton="0" quotePrefix="0" xfId="0">
      <alignment vertical="center" wrapText="1"/>
    </xf>
    <xf numFmtId="0" fontId="9" fillId="10" borderId="1" applyAlignment="1" pivotButton="0" quotePrefix="0" xfId="0">
      <alignment vertical="center" wrapText="1"/>
    </xf>
    <xf numFmtId="2" fontId="23" fillId="10" borderId="1" applyAlignment="1" pivotButton="0" quotePrefix="0" xfId="0">
      <alignment horizontal="center"/>
    </xf>
    <xf numFmtId="0" fontId="16" fillId="10" borderId="1" applyAlignment="1" pivotButton="0" quotePrefix="0" xfId="0">
      <alignment vertical="center" wrapText="1"/>
    </xf>
    <xf numFmtId="0" fontId="9" fillId="0" borderId="0" pivotButton="0" quotePrefix="0" xfId="0"/>
    <xf numFmtId="49" fontId="10" fillId="7" borderId="1" applyAlignment="1" pivotButton="0" quotePrefix="0" xfId="0">
      <alignment horizontal="center"/>
    </xf>
    <xf numFmtId="49" fontId="15" fillId="4" borderId="1" applyAlignment="1" pivotButton="0" quotePrefix="0" xfId="0">
      <alignment horizontal="center"/>
    </xf>
    <xf numFmtId="49" fontId="15" fillId="5" borderId="1" applyAlignment="1" pivotButton="0" quotePrefix="0" xfId="0">
      <alignment horizontal="center"/>
    </xf>
    <xf numFmtId="0" fontId="10" fillId="11" borderId="1" applyAlignment="1" pivotButton="0" quotePrefix="0" xfId="0">
      <alignment horizontal="center"/>
    </xf>
    <xf numFmtId="0" fontId="24" fillId="2" borderId="0" applyAlignment="1" pivotButton="0" quotePrefix="0" xfId="0">
      <alignment vertical="center" wrapText="1"/>
    </xf>
    <xf numFmtId="0" fontId="25" fillId="0" borderId="0" pivotButton="0" quotePrefix="0" xfId="0"/>
    <xf numFmtId="0" fontId="8" fillId="12" borderId="1" applyAlignment="1" pivotButton="0" quotePrefix="0" xfId="0">
      <alignment horizontal="center" vertical="center" wrapText="1"/>
    </xf>
    <xf numFmtId="165" fontId="10" fillId="4" borderId="1" applyAlignment="1" pivotButton="0" quotePrefix="0" xfId="0">
      <alignment horizontal="center"/>
    </xf>
    <xf numFmtId="165" fontId="10" fillId="5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2" fontId="10" fillId="4" borderId="1" applyAlignment="1" pivotButton="0" quotePrefix="0" xfId="0">
      <alignment horizontal="center"/>
    </xf>
    <xf numFmtId="2" fontId="9" fillId="4" borderId="1" applyAlignment="1" pivotButton="0" quotePrefix="0" xfId="0">
      <alignment horizontal="center"/>
    </xf>
    <xf numFmtId="1" fontId="16" fillId="4" borderId="1" applyAlignment="1" pivotButton="0" quotePrefix="0" xfId="0">
      <alignment horizontal="center"/>
    </xf>
    <xf numFmtId="2" fontId="10" fillId="5" borderId="1" applyAlignment="1" pivotButton="0" quotePrefix="0" xfId="0">
      <alignment horizontal="center"/>
    </xf>
    <xf numFmtId="2" fontId="9" fillId="5" borderId="1" applyAlignment="1" pivotButton="0" quotePrefix="0" xfId="0">
      <alignment horizontal="center"/>
    </xf>
    <xf numFmtId="1" fontId="16" fillId="5" borderId="1" applyAlignment="1" pivotButton="0" quotePrefix="0" xfId="0">
      <alignment horizontal="center"/>
    </xf>
    <xf numFmtId="0" fontId="9" fillId="10" borderId="1" applyAlignment="1" pivotButton="0" quotePrefix="0" xfId="0">
      <alignment horizontal="center"/>
    </xf>
    <xf numFmtId="0" fontId="15" fillId="4" borderId="1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0" fontId="26" fillId="8" borderId="1" applyAlignment="1" pivotButton="0" quotePrefix="0" xfId="0">
      <alignment horizontal="center"/>
    </xf>
    <xf numFmtId="0" fontId="15" fillId="5" borderId="1" applyAlignment="1" pivotButton="0" quotePrefix="0" xfId="0">
      <alignment horizontal="center"/>
    </xf>
    <xf numFmtId="0" fontId="10" fillId="10" borderId="1" applyAlignment="1" pivotButton="0" quotePrefix="0" xfId="0">
      <alignment horizontal="center"/>
    </xf>
    <xf numFmtId="0" fontId="27" fillId="0" borderId="0" pivotButton="0" quotePrefix="0" xfId="0"/>
    <xf numFmtId="0" fontId="12" fillId="0" borderId="0" pivotButton="0" quotePrefix="0" xfId="0"/>
    <xf numFmtId="0" fontId="28" fillId="13" borderId="0" applyAlignment="1" pivotButton="0" quotePrefix="0" xfId="0">
      <alignment vertical="center" indent="1"/>
    </xf>
    <xf numFmtId="0" fontId="16" fillId="0" borderId="0" pivotButton="0" quotePrefix="0" xfId="0"/>
    <xf numFmtId="0" fontId="8" fillId="13" borderId="1" applyAlignment="1" pivotButton="0" quotePrefix="0" xfId="0">
      <alignment horizontal="center" vertical="center" wrapText="1"/>
    </xf>
    <xf numFmtId="0" fontId="29" fillId="14" borderId="1" applyAlignment="1" pivotButton="0" quotePrefix="0" xfId="0">
      <alignment horizontal="center" vertical="center" wrapText="1"/>
    </xf>
    <xf numFmtId="0" fontId="30" fillId="10" borderId="1" applyAlignment="1" pivotButton="0" quotePrefix="0" xfId="0">
      <alignment horizontal="center" vertical="center"/>
    </xf>
    <xf numFmtId="0" fontId="31" fillId="2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33" fillId="7" borderId="1" applyAlignment="1" pivotButton="0" quotePrefix="0" xfId="0">
      <alignment horizontal="center" vertical="center"/>
    </xf>
    <xf numFmtId="0" fontId="34" fillId="5" borderId="1" applyAlignment="1" pivotButton="0" quotePrefix="0" xfId="0">
      <alignment horizontal="center" vertical="center"/>
    </xf>
    <xf numFmtId="0" fontId="28" fillId="12" borderId="0" pivotButton="0" quotePrefix="0" xfId="0"/>
    <xf numFmtId="0" fontId="35" fillId="0" borderId="0" pivotButton="0" quotePrefix="0" xfId="0"/>
    <xf numFmtId="0" fontId="36" fillId="4" borderId="1" applyAlignment="1" pivotButton="0" quotePrefix="0" xfId="0">
      <alignment vertical="center" wrapText="1"/>
    </xf>
    <xf numFmtId="0" fontId="36" fillId="5" borderId="1" applyAlignment="1" pivotButton="0" quotePrefix="0" xfId="0">
      <alignment vertical="center" wrapText="1"/>
    </xf>
    <xf numFmtId="0" fontId="16" fillId="8" borderId="1" applyAlignment="1" pivotButton="0" quotePrefix="0" xfId="0">
      <alignment vertical="center" wrapText="1"/>
    </xf>
    <xf numFmtId="0" fontId="10" fillId="8" borderId="1" applyAlignment="1" pivotButton="0" quotePrefix="0" xfId="0">
      <alignment vertical="center" wrapText="1"/>
    </xf>
    <xf numFmtId="0" fontId="37" fillId="8" borderId="1" applyAlignment="1" pivotButton="0" quotePrefix="0" xfId="0">
      <alignment vertical="center" wrapText="1"/>
    </xf>
    <xf numFmtId="0" fontId="15" fillId="8" borderId="1" applyAlignment="1" pivotButton="0" quotePrefix="0" xfId="0">
      <alignment vertical="center" wrapText="1"/>
    </xf>
    <xf numFmtId="0" fontId="10" fillId="10" borderId="1" applyAlignment="1" pivotButton="0" quotePrefix="0" xfId="0">
      <alignment vertical="center" wrapText="1"/>
    </xf>
    <xf numFmtId="0" fontId="23" fillId="10" borderId="1" applyAlignment="1" pivotButton="0" quotePrefix="0" xfId="0">
      <alignment vertical="center" wrapText="1"/>
    </xf>
    <xf numFmtId="0" fontId="15" fillId="1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3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78" customWidth="1" min="3" max="3"/>
  </cols>
  <sheetData>
    <row r="3">
      <c r="B3" s="1" t="inlineStr">
        <is>
          <t>สถาบันเทคโนโลยีพระจอมเกล้าเจ้าคุณทหารลาดกระบัง</t>
        </is>
      </c>
    </row>
    <row r="4">
      <c r="B4" s="2" t="inlineStr">
        <is>
          <t>คณะครุศาสตร์อุตสาหกรรมและเทคโนโลยี</t>
        </is>
      </c>
    </row>
    <row r="5">
      <c r="B5" s="3" t="inlineStr">
        <is>
          <t>ภาควิชาครุศาสตร์วิศวกรรม</t>
        </is>
      </c>
    </row>
    <row r="7" ht="30" customHeight="1">
      <c r="B7" s="4" t="inlineStr">
        <is>
          <t>หลักสูตรครุศาสตร์อุตสาหกรรมบัณฑิต สาขาวิชาเทคโนโลยีคอมพิวเตอร์ (หลักสูตรปรับปรุง พ.ศ. 2567)</t>
        </is>
      </c>
    </row>
    <row r="9" ht="30" customHeight="1">
      <c r="B9" s="5" t="inlineStr">
        <is>
          <t>ระบบติดตามและประเมินผลลัพธ์การเรียนรู้ที่คาดหวังระดับรายวิชา</t>
        </is>
      </c>
    </row>
    <row r="10">
      <c r="B10" s="6" t="inlineStr">
        <is>
          <t>Course Learning Outcome Monitoring and Assessment System (CMAS)</t>
        </is>
      </c>
    </row>
    <row r="12" ht="24" customHeight="1">
      <c r="B12" s="7" t="inlineStr">
        <is>
          <t>ตัวอย่างการกรอกข้อมูลของรายวิชา ตามกรอบ มคอ.3 และ มคอ.5</t>
        </is>
      </c>
    </row>
    <row r="14" ht="24" customHeight="1">
      <c r="B14" s="8" t="inlineStr">
        <is>
          <t>หัวข้อ</t>
        </is>
      </c>
      <c r="C14" s="8" t="inlineStr">
        <is>
          <t>รายละเอียด</t>
        </is>
      </c>
    </row>
    <row r="15">
      <c r="B15" s="9" t="inlineStr">
        <is>
          <t>รายวิชาที่ใช้เป็นตัวอย่าง</t>
        </is>
      </c>
      <c r="C15" s="10" t="inlineStr">
        <is>
          <t>03376120  ระบบฐานข้อมูล  (DATABASE SYSTEM)  3 (2-2-5)</t>
        </is>
      </c>
    </row>
    <row r="16">
      <c r="B16" s="11" t="inlineStr">
        <is>
          <t>แผนการศึกษา</t>
        </is>
      </c>
      <c r="C16" s="12" t="inlineStr">
        <is>
          <t>ปีที่ 1 ภาคการศึกษาที่ 1 · หมวดวิชาเฉพาะ · กลุ่มวิชาชีพเฉพาะสาขาวิชา (บังคับเรียน)</t>
        </is>
      </c>
    </row>
    <row r="17">
      <c r="B17" s="9" t="inlineStr">
        <is>
          <t>ภาคการศึกษา</t>
        </is>
      </c>
      <c r="C17" s="10" t="inlineStr">
        <is>
          <t>ภาคการศึกษาที่ 1 ปีการศึกษา 2568 กลุ่มเรียน 01</t>
        </is>
      </c>
    </row>
    <row r="18">
      <c r="B18" s="11" t="inlineStr">
        <is>
          <t>จำนวน CLO ที่กำหนด</t>
        </is>
      </c>
      <c r="C18" s="12" t="inlineStr">
        <is>
          <t>4 ข้อ</t>
        </is>
      </c>
    </row>
    <row r="19">
      <c r="B19" s="9" t="inlineStr">
        <is>
          <t>จำนวนกิจกรรมการประเมิน</t>
        </is>
      </c>
      <c r="C19" s="10" t="inlineStr">
        <is>
          <t>5 กิจกรรม (สัดส่วนรวม 100%)</t>
        </is>
      </c>
    </row>
    <row r="20">
      <c r="B20" s="11" t="inlineStr">
        <is>
          <t>จำนวนนักศึกษาในตัวอย่าง</t>
        </is>
      </c>
      <c r="C20" s="12" t="inlineStr">
        <is>
          <t>8 คน</t>
        </is>
      </c>
    </row>
    <row r="22">
      <c r="B22" s="13" t="inlineStr">
        <is>
          <t>ลำดับการนำเสนอในไฟล์นี้</t>
        </is>
      </c>
    </row>
    <row r="23" ht="24" customHeight="1">
      <c r="B23" s="8" t="inlineStr">
        <is>
          <t>แผ่นงาน</t>
        </is>
      </c>
      <c r="C23" s="8" t="inlineStr">
        <is>
          <t>ตอบคำถามของอาจารย์ว่า</t>
        </is>
      </c>
    </row>
    <row r="24">
      <c r="B24" s="9" t="inlineStr">
        <is>
          <t>1 ข้อมูลรายวิชา</t>
        </is>
      </c>
      <c r="C24" s="10" t="inlineStr">
        <is>
          <t>รายวิชานี้คืออะไร และระบบเก็บข้อมูลอะไรบ้างในระดับรายวิชา</t>
        </is>
      </c>
    </row>
    <row r="25">
      <c r="B25" s="11" t="inlineStr">
        <is>
          <t>2 CLO</t>
        </is>
      </c>
      <c r="C25" s="12" t="inlineStr">
        <is>
          <t>CLO ของรายวิชามีอะไร ระดับพฤติกรรมใด และตั้งเป้าการบรรลุไว้เท่าไร</t>
        </is>
      </c>
    </row>
    <row r="26">
      <c r="B26" s="9" t="inlineStr">
        <is>
          <t>3 แผนประเมิน มคอ.3</t>
        </is>
      </c>
      <c r="C26" s="10" t="inlineStr">
        <is>
          <t>แผนการประเมินผลตามแบบ มคอ.3 หมวดที่ 5 — ตารางที่อาจารย์คุ้นเคยอยู่แล้ว</t>
        </is>
      </c>
    </row>
    <row r="27">
      <c r="B27" s="11" t="inlineStr">
        <is>
          <t>4 เมทริกซ์ CLO x กิจกรรม</t>
        </is>
      </c>
      <c r="C27" s="12" t="inlineStr">
        <is>
          <t>สิ่งที่ระบบเพิ่มจาก มคอ.3 — น้ำหนักรายคู่ ที่ทำให้คำนวณการบรรลุ CLO ได้จริง</t>
        </is>
      </c>
    </row>
    <row r="28">
      <c r="B28" s="9" t="inlineStr">
        <is>
          <t>5 รายชื่อนักศึกษา</t>
        </is>
      </c>
      <c r="C28" s="10" t="inlineStr">
        <is>
          <t>รายชื่อนักศึกษาที่ต้องนำเข้า</t>
        </is>
      </c>
    </row>
    <row r="29">
      <c r="B29" s="11" t="inlineStr">
        <is>
          <t>6 กรอกคะแนน</t>
        </is>
      </c>
      <c r="C29" s="12" t="inlineStr">
        <is>
          <t>หน้าจอกรอกคะแนน — งานประจำที่อาจารย์ทำจริงทุกสัปดาห์</t>
        </is>
      </c>
    </row>
    <row r="30">
      <c r="B30" s="9" t="inlineStr">
        <is>
          <t>7 ผลการบรรลุ CLO</t>
        </is>
      </c>
      <c r="C30" s="10" t="inlineStr">
        <is>
          <t>ผลการบรรลุ CLO รายบุคคล ที่ระบบคำนวณให้ทันทีระหว่างภาคเรียน</t>
        </is>
      </c>
    </row>
    <row r="31">
      <c r="B31" s="11" t="inlineStr">
        <is>
          <t>8 ตัดเกรด</t>
        </is>
      </c>
      <c r="C31" s="12" t="inlineStr">
        <is>
          <t>การตัดเกรด — อิงเกณฑ์และอิงกลุ่ม บนคะแนนชุดเดียวกัน ให้ผลต่างกันอย่างไร</t>
        </is>
      </c>
    </row>
    <row r="32">
      <c r="B32" s="9" t="inlineStr">
        <is>
          <t>9 รายงาน มคอ.5</t>
        </is>
      </c>
      <c r="C32" s="10" t="inlineStr">
        <is>
          <t>ตารางสรุปสำหรับกรอก มคอ.5 — ปลายทางที่ข้อมูลทั้งหมดไปจบ</t>
        </is>
      </c>
    </row>
    <row r="33">
      <c r="B33" s="11" t="inlineStr">
        <is>
          <t>10 ตารางฐานข้อมูล</t>
        </is>
      </c>
      <c r="C33" s="12" t="inlineStr">
        <is>
          <t>ข้อมูลเดียวกันนี้ถูกเก็บในฐานข้อมูลอย่างไร (สำหรับกรรมการสายเทคนิค)</t>
        </is>
      </c>
    </row>
    <row r="34">
      <c r="B34" s="9" t="inlineStr">
        <is>
          <t>11 แผนที่ UI-DB</t>
        </is>
      </c>
      <c r="C34" s="10" t="inlineStr">
        <is>
          <t>ช่องกรอกแต่ละช่องลงตารางและคอลัมน์ใด</t>
        </is>
      </c>
    </row>
    <row r="36" ht="30" customHeight="1">
      <c r="B36" s="14" t="inlineStr">
        <is>
          <t>ที่มาของข้อมูลรายวิชา: รหัสวิชา ชื่อวิชา หน่วยกิต และคำอธิบายรายวิชา นำมาจากเล่มหลักสูตรฉบับปรับปรุง พ.ศ. 2567 โดยตรง  ·  ส่วน CLO กิจกรรมการประเมิน รายชื่อนักศึกษา และคะแนนทั้งหมด เป็นข้อมูลสมมติเพื่อสาธิตการทำงานของระบบเท่านั้น</t>
        </is>
      </c>
    </row>
  </sheetData>
  <mergeCells count="8">
    <mergeCell ref="B7:C7"/>
    <mergeCell ref="B3:C3"/>
    <mergeCell ref="B5:C5"/>
    <mergeCell ref="B10:C10"/>
    <mergeCell ref="B36:C36"/>
    <mergeCell ref="B9:C9"/>
    <mergeCell ref="B4:C4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62" customWidth="1" min="3" max="3"/>
    <col width="34" customWidth="1" min="4" max="4"/>
  </cols>
  <sheetData>
    <row r="1">
      <c r="A1" s="15" t="inlineStr">
        <is>
          <t>1 · ข้อมูลรายวิชา</t>
        </is>
      </c>
    </row>
    <row r="2">
      <c r="A2" s="16" t="inlineStr">
        <is>
          <t>เทียบได้กับ มคอ.3 หมวดที่ 1 (ข้อมูลทั่วไป) — กรอกครั้งเดียวตอนเปิดรายวิชา</t>
        </is>
      </c>
    </row>
    <row r="4" ht="24" customHeight="1">
      <c r="B4" s="17" t="inlineStr">
        <is>
          <t>หัวข้อตาม มคอ.3</t>
        </is>
      </c>
      <c r="C4" s="17" t="inlineStr">
        <is>
          <t>ค่าที่กรอกในระบบ</t>
        </is>
      </c>
      <c r="D4" s="17" t="inlineStr">
        <is>
          <t>เก็บที่คอลัมน์</t>
        </is>
      </c>
    </row>
    <row r="5">
      <c r="B5" s="9" t="inlineStr">
        <is>
          <t>รหัสวิชา</t>
        </is>
      </c>
      <c r="C5" s="18" t="inlineStr">
        <is>
          <t>03376120</t>
        </is>
      </c>
      <c r="D5" s="19" t="inlineStr">
        <is>
          <t>Course.code</t>
        </is>
      </c>
    </row>
    <row r="6">
      <c r="B6" s="11" t="inlineStr">
        <is>
          <t>ชื่อรายวิชา (ไทย)</t>
        </is>
      </c>
      <c r="C6" s="18" t="inlineStr">
        <is>
          <t>ระบบฐานข้อมูล</t>
        </is>
      </c>
      <c r="D6" s="20" t="inlineStr">
        <is>
          <t>Course.name</t>
        </is>
      </c>
    </row>
    <row r="7">
      <c r="B7" s="9" t="inlineStr">
        <is>
          <t>ชื่อรายวิชา (อังกฤษ)</t>
        </is>
      </c>
      <c r="C7" s="18" t="inlineStr">
        <is>
          <t>DATABASE SYSTEM</t>
        </is>
      </c>
      <c r="D7" s="19" t="inlineStr">
        <is>
          <t>Course.nameEn</t>
        </is>
      </c>
    </row>
    <row r="8">
      <c r="B8" s="11" t="inlineStr">
        <is>
          <t>จำนวนหน่วยกิต</t>
        </is>
      </c>
      <c r="C8" s="18" t="inlineStr">
        <is>
          <t>3 (2-2-5)</t>
        </is>
      </c>
      <c r="D8" s="20" t="inlineStr">
        <is>
          <t>Course.credits + lecture/practice/selfStudyHours</t>
        </is>
      </c>
    </row>
    <row r="9">
      <c r="B9" s="9" t="inlineStr">
        <is>
          <t>หลักสูตรและประเภทของรายวิชา</t>
        </is>
      </c>
      <c r="C9" s="18" t="inlineStr">
        <is>
          <t>หมวดวิชาเฉพาะ · กลุ่มวิชาชีพเฉพาะสาขาวิชา (บังคับเรียน)</t>
        </is>
      </c>
      <c r="D9" s="19" t="inlineStr">
        <is>
          <t>— ไม่เก็บ (นอกขอบเขต v1)</t>
        </is>
      </c>
    </row>
    <row r="10">
      <c r="B10" s="11" t="inlineStr">
        <is>
          <t>ภาคการศึกษา / ชั้นปีที่เรียน</t>
        </is>
      </c>
      <c r="C10" s="18" t="inlineStr">
        <is>
          <t>ภาคการศึกษาที่ 1 · ปีที่ 1 ภาคการศึกษาที่ 1</t>
        </is>
      </c>
      <c r="D10" s="20" t="inlineStr">
        <is>
          <t>Course.semester</t>
        </is>
      </c>
    </row>
    <row r="11">
      <c r="B11" s="9" t="inlineStr">
        <is>
          <t>ปีการศึกษา (พ.ศ.)</t>
        </is>
      </c>
      <c r="C11" s="18" t="n">
        <v>2568</v>
      </c>
      <c r="D11" s="19" t="inlineStr">
        <is>
          <t>Course.year</t>
        </is>
      </c>
    </row>
    <row r="12">
      <c r="B12" s="11" t="inlineStr">
        <is>
          <t>กลุ่มเรียน (Section)</t>
        </is>
      </c>
      <c r="C12" s="18" t="inlineStr">
        <is>
          <t>01</t>
        </is>
      </c>
      <c r="D12" s="20" t="inlineStr">
        <is>
          <t>Course.section</t>
        </is>
      </c>
    </row>
    <row r="13">
      <c r="B13" s="9" t="inlineStr">
        <is>
          <t>รายวิชาที่ต้องเรียนมาก่อน</t>
        </is>
      </c>
      <c r="C13" s="18" t="inlineStr">
        <is>
          <t>ไม่มี</t>
        </is>
      </c>
      <c r="D13" s="19" t="inlineStr">
        <is>
          <t>— ไม่เก็บ (นอกขอบเขต v1)</t>
        </is>
      </c>
    </row>
    <row r="14">
      <c r="B14" s="11" t="inlineStr">
        <is>
          <t>อาจารย์ผู้รับผิดชอบรายวิชา</t>
        </is>
      </c>
      <c r="C14" s="18" t="inlineStr">
        <is>
          <t>ผศ.วิชัย คงเจริญ (ผู้ประสานงานรายวิชา)</t>
        </is>
      </c>
      <c r="D14" s="20" t="inlineStr">
        <is>
          <t>CourseInstructor.role = LEAD</t>
        </is>
      </c>
    </row>
    <row r="15">
      <c r="B15" s="9" t="inlineStr">
        <is>
          <t>อาจารย์ผู้สอนร่วม</t>
        </is>
      </c>
      <c r="C15" s="18" t="inlineStr">
        <is>
          <t>อ.สุดา พรหมมา</t>
        </is>
      </c>
      <c r="D15" s="19" t="inlineStr">
        <is>
          <t>CourseInstructor.role = CO</t>
        </is>
      </c>
    </row>
    <row r="16">
      <c r="B16" s="11" t="inlineStr">
        <is>
          <t>รูปแบบการตัดเกรด</t>
        </is>
      </c>
      <c r="C16" s="18" t="inlineStr">
        <is>
          <t>LETTER (A–F)</t>
        </is>
      </c>
      <c r="D16" s="20" t="inlineStr">
        <is>
          <t>Course.gradeScale</t>
        </is>
      </c>
    </row>
    <row r="17">
      <c r="B17" s="9" t="inlineStr">
        <is>
          <t>เกณฑ์คะแนนรวมที่ถือว่าผ่านรายวิชา</t>
        </is>
      </c>
      <c r="C17" s="21" t="n">
        <v>60</v>
      </c>
      <c r="D17" s="19" t="inlineStr">
        <is>
          <t>Course.passCriteria</t>
        </is>
      </c>
    </row>
    <row r="18">
      <c r="B18" s="11" t="inlineStr">
        <is>
          <t>เป้าหมายสัดส่วนผู้ผ่านต่อ CLO (Class Target)</t>
        </is>
      </c>
      <c r="C18" s="21" t="n">
        <v>70</v>
      </c>
      <c r="D18" s="20" t="inlineStr">
        <is>
          <t>Course.classTarget</t>
        </is>
      </c>
    </row>
    <row r="20">
      <c r="B20" s="13" t="inlineStr">
        <is>
          <t>คำอธิบายรายวิชา (ตามเล่มหลักสูตร)</t>
        </is>
      </c>
    </row>
    <row r="21" ht="46" customHeight="1">
      <c r="B21" s="22" t="inlineStr">
        <is>
          <t>ศึกษาและปฏิบัติในหัวข้อ หลักการของระบบฐานข้อมูล สถาปัตยกรรมฐานข้อมูล โมเดลฐานข้อมูล ฐานข้อมูลเชิงสัมพันธ์ การออกแบบฐานข้อมูล การทำบรรทัดฐาน ภาษาสอบถามเชิงโครงสร้าง ฐานข้อมูลโนเอสคิวแอล</t>
        </is>
      </c>
      <c r="C21" s="23" t="n"/>
      <c r="D21" s="24" t="n"/>
    </row>
    <row r="23" ht="30" customHeight="1">
      <c r="B23" s="14" t="inlineStr">
        <is>
          <t>สองบรรทัดสุดท้ายของตารางด้านบนคือค่าที่ระบบใช้ตัดสินผล — เกณฑ์ผ่านรายวิชาใช้กับนักศึกษารายคน ส่วน Class Target ใช้กับภาพรวมทั้งห้องว่า CLO ข้อนั้นบรรลุหรือไม่  ทั้งสองค่าเก็บแยกรายวิชา การแก้ค่าของวิชานี้จึงไม่กระทบผลของวิชาอื่นหรือของภาคเรียนที่ผ่านมา</t>
        </is>
      </c>
    </row>
  </sheetData>
  <mergeCells count="2">
    <mergeCell ref="B23:D23"/>
    <mergeCell ref="B21:D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52" customWidth="1" min="4" max="4"/>
    <col width="14" customWidth="1" min="5" max="5"/>
    <col width="20" customWidth="1" min="6" max="6"/>
    <col width="16" customWidth="1" min="7" max="7"/>
    <col width="24" customWidth="1" min="8" max="8"/>
  </cols>
  <sheetData>
    <row r="1">
      <c r="A1" s="15" t="inlineStr">
        <is>
          <t>2 · ผลลัพธ์การเรียนรู้ระดับรายวิชา (CLO)</t>
        </is>
      </c>
    </row>
    <row r="2">
      <c r="A2" s="16" t="inlineStr">
        <is>
          <t>เทียบได้กับ มคอ.3 หมวดที่ 4 — CLO และเกณฑ์ทั้งหมดเป็นสิ่งที่ผู้สอนกำหนดเองในระดับรายวิชา</t>
        </is>
      </c>
    </row>
    <row r="4" ht="24" customHeight="1">
      <c r="A4" s="17" t="inlineStr">
        <is>
          <t>ลำดับ</t>
        </is>
      </c>
      <c r="B4" s="17" t="inlineStr">
        <is>
          <t>รหัสในระบบ</t>
        </is>
      </c>
      <c r="C4" s="17" t="inlineStr">
        <is>
          <t>CLO ที่</t>
        </is>
      </c>
      <c r="D4" s="17" t="inlineStr">
        <is>
          <t>ผลลัพธ์การเรียนรู้ที่คาดหวัง</t>
        </is>
      </c>
      <c r="E4" s="17" t="inlineStr">
        <is>
          <t>เกณฑ์ผ่านรายคน (%)</t>
        </is>
      </c>
      <c r="F4" s="17" t="inlineStr">
        <is>
          <t>ระดับ Bloom</t>
        </is>
      </c>
      <c r="G4" s="17" t="inlineStr">
        <is>
          <t>เป้าหมายผู้ผ่าน (%)</t>
        </is>
      </c>
      <c r="H4" s="17" t="inlineStr">
        <is>
          <t>ที่มาของเป้าหมาย</t>
        </is>
      </c>
    </row>
    <row r="5" ht="32" customHeight="1">
      <c r="A5" s="25" t="n">
        <v>1</v>
      </c>
      <c r="B5" s="19" t="inlineStr">
        <is>
          <t>clo-01</t>
        </is>
      </c>
      <c r="C5" s="25" t="n">
        <v>1</v>
      </c>
      <c r="D5" s="18" t="inlineStr">
        <is>
          <t>ออกแบบฐานข้อมูลเชิงสัมพันธ์จากโจทย์ที่กำหนดได้</t>
        </is>
      </c>
      <c r="E5" s="26" t="n">
        <v>60</v>
      </c>
      <c r="F5" s="27" t="inlineStr">
        <is>
          <t>สร้างสรรค์  (CREATE)</t>
        </is>
      </c>
      <c r="G5" s="27" t="n">
        <v>60</v>
      </c>
      <c r="H5" s="28" t="inlineStr">
        <is>
          <t>กำหนดเฉพาะ CLO ข้อนี้</t>
        </is>
      </c>
    </row>
    <row r="6" ht="32" customHeight="1">
      <c r="A6" s="29" t="n">
        <v>2</v>
      </c>
      <c r="B6" s="20" t="inlineStr">
        <is>
          <t>clo-02</t>
        </is>
      </c>
      <c r="C6" s="29" t="n">
        <v>2</v>
      </c>
      <c r="D6" s="18" t="inlineStr">
        <is>
          <t>เขียนคำสั่งภาษาสอบถามเชิงโครงสร้าง (SQL) เพื่อสืบค้นและจัดการข้อมูลได้</t>
        </is>
      </c>
      <c r="E6" s="26" t="n">
        <v>60</v>
      </c>
      <c r="F6" s="27" t="inlineStr">
        <is>
          <t>ประยุกต์ใช้  (APPLY)</t>
        </is>
      </c>
      <c r="G6" s="26" t="n">
        <v>70</v>
      </c>
      <c r="H6" s="30" t="inlineStr">
        <is>
          <t>ใช้ค่าของรายวิชา</t>
        </is>
      </c>
    </row>
    <row r="7" ht="32" customHeight="1">
      <c r="A7" s="25" t="n">
        <v>3</v>
      </c>
      <c r="B7" s="19" t="inlineStr">
        <is>
          <t>clo-03</t>
        </is>
      </c>
      <c r="C7" s="25" t="n">
        <v>3</v>
      </c>
      <c r="D7" s="18" t="inlineStr">
        <is>
          <t>ทำบรรทัดฐาน (Normalization) ถึงระดับ 3NF ได้ถูกต้อง</t>
        </is>
      </c>
      <c r="E7" s="26" t="n">
        <v>65</v>
      </c>
      <c r="F7" s="27" t="inlineStr">
        <is>
          <t>วิเคราะห์  (ANALYZE)</t>
        </is>
      </c>
      <c r="G7" s="26" t="n">
        <v>70</v>
      </c>
      <c r="H7" s="28" t="inlineStr">
        <is>
          <t>ใช้ค่าของรายวิชา</t>
        </is>
      </c>
    </row>
    <row r="8" ht="32" customHeight="1">
      <c r="A8" s="29" t="n">
        <v>4</v>
      </c>
      <c r="B8" s="20" t="inlineStr">
        <is>
          <t>clo-04</t>
        </is>
      </c>
      <c r="C8" s="29" t="n">
        <v>4</v>
      </c>
      <c r="D8" s="18" t="inlineStr">
        <is>
          <t>เลือกใช้ฐานข้อมูลเชิงสัมพันธ์หรือโนเอสคิวแอลได้เหมาะสมกับลักษณะงาน</t>
        </is>
      </c>
      <c r="E8" s="26" t="n">
        <v>60</v>
      </c>
      <c r="F8" s="27" t="inlineStr">
        <is>
          <t>ประเมินค่า  (EVALUATE)</t>
        </is>
      </c>
      <c r="G8" s="27" t="n">
        <v>65</v>
      </c>
      <c r="H8" s="30" t="inlineStr">
        <is>
          <t>กำหนดเฉพาะ CLO ข้อนี้</t>
        </is>
      </c>
    </row>
    <row r="10" ht="30" customHeight="1">
      <c r="A10" s="14" t="inlineStr">
        <is>
          <t>ระดับ Bloom มาจากคำกริยาที่ขึ้นต้น CLO เอง ไม่ใช่ค่าที่ระบบเดาให้ — ระบบจึงไม่ตั้งค่าเริ่มต้นให้ และผู้สอนต้องเลือกเอง  ·  ประโยชน์คือใช้ตรวจความสอดคล้องของการวัด: CLO ระดับ 'วิเคราะห์' ที่วัดด้วยแบบทดสอบปรนัยอย่างเดียว คือสัญญาณว่าวิธีประเมินยังไม่ตรงกับสิ่งที่เขียนไว้</t>
        </is>
      </c>
    </row>
    <row r="11" ht="30" customHeight="1">
      <c r="A11" s="14" t="inlineStr">
        <is>
          <t>คอลัมน์ขวาสุดคือสัดส่วนผู้ผ่านที่ทำให้ถือว่า CLO ข้อนั้น 'บรรลุ'  ·  CLO ข้อ 1 อยู่ระดับ 'สร้างสรรค์' ซึ่งเป็นระดับสูงสุดของ Bloom จึงตั้งเป้าไว้ที่ 60% ต่ำกว่าค่ากลางของรายวิชา (70%) อย่างมีเหตุผล  ·  ข้อที่เว้นว่างไว้จะใช้ค่าของรายวิชาโดยอัตโนมัติ</t>
        </is>
      </c>
    </row>
    <row r="13">
      <c r="A13" s="13" t="inlineStr">
        <is>
          <t>จุดประสงค์เชิงพฤติกรรมของแต่ละ CLO</t>
        </is>
      </c>
    </row>
    <row r="14" ht="24" customHeight="1">
      <c r="A14" s="17" t="inlineStr">
        <is>
          <t>ลำดับ</t>
        </is>
      </c>
      <c r="B14" s="17" t="inlineStr">
        <is>
          <t>รหัสในระบบ</t>
        </is>
      </c>
      <c r="C14" s="17" t="inlineStr">
        <is>
          <t>สังกัด CLO</t>
        </is>
      </c>
      <c r="D14" s="17" t="inlineStr">
        <is>
          <t>จุดประสงค์เชิงพฤติกรรม</t>
        </is>
      </c>
      <c r="E14" s="17" t="inlineStr"/>
      <c r="F14" s="17" t="inlineStr"/>
      <c r="G14" s="17" t="inlineStr"/>
    </row>
    <row r="15">
      <c r="A15" s="25" t="n">
        <v>1</v>
      </c>
      <c r="B15" s="19" t="inlineStr">
        <is>
          <t>obj-01</t>
        </is>
      </c>
      <c r="C15" s="25" t="inlineStr">
        <is>
          <t>CLO 1</t>
        </is>
      </c>
      <c r="D15" s="10" t="inlineStr">
        <is>
          <t>เขียนแผนภาพ ER จากความต้องการของผู้ใช้ได้</t>
        </is>
      </c>
    </row>
    <row r="16">
      <c r="A16" s="29" t="n">
        <v>2</v>
      </c>
      <c r="B16" s="20" t="inlineStr">
        <is>
          <t>obj-02</t>
        </is>
      </c>
      <c r="C16" s="29" t="inlineStr">
        <is>
          <t>CLO 1</t>
        </is>
      </c>
      <c r="D16" s="12" t="inlineStr">
        <is>
          <t>แปลงแผนภาพ ER เป็นตารางเชิงสัมพันธ์ได้</t>
        </is>
      </c>
    </row>
    <row r="17">
      <c r="A17" s="25" t="n">
        <v>3</v>
      </c>
      <c r="B17" s="19" t="inlineStr">
        <is>
          <t>obj-03</t>
        </is>
      </c>
      <c r="C17" s="25" t="inlineStr">
        <is>
          <t>CLO 2</t>
        </is>
      </c>
      <c r="D17" s="10" t="inlineStr">
        <is>
          <t>เขียนคำสั่ง SELECT พร้อม JOIN หลายตารางได้</t>
        </is>
      </c>
    </row>
    <row r="18">
      <c r="A18" s="29" t="n">
        <v>4</v>
      </c>
      <c r="B18" s="20" t="inlineStr">
        <is>
          <t>obj-04</t>
        </is>
      </c>
      <c r="C18" s="29" t="inlineStr">
        <is>
          <t>CLO 2</t>
        </is>
      </c>
      <c r="D18" s="12" t="inlineStr">
        <is>
          <t>ใช้ subquery และฟังก์ชันรวม (aggregate function) ได้</t>
        </is>
      </c>
    </row>
    <row r="19">
      <c r="A19" s="25" t="n">
        <v>5</v>
      </c>
      <c r="B19" s="19" t="inlineStr">
        <is>
          <t>obj-05</t>
        </is>
      </c>
      <c r="C19" s="25" t="inlineStr">
        <is>
          <t>CLO 3</t>
        </is>
      </c>
      <c r="D19" s="10" t="inlineStr">
        <is>
          <t>ระบุความสัมพันธ์เชิงหน้าที่ (functional dependency) ของตารางได้</t>
        </is>
      </c>
    </row>
    <row r="20">
      <c r="A20" s="29" t="n">
        <v>6</v>
      </c>
      <c r="B20" s="20" t="inlineStr">
        <is>
          <t>obj-06</t>
        </is>
      </c>
      <c r="C20" s="29" t="inlineStr">
        <is>
          <t>CLO 3</t>
        </is>
      </c>
      <c r="D20" s="12" t="inlineStr">
        <is>
          <t>แปลงตารางให้อยู่ในรูปบรรทัดฐานที่ 3 (3NF) ได้</t>
        </is>
      </c>
    </row>
    <row r="21">
      <c r="A21" s="25" t="n">
        <v>7</v>
      </c>
      <c r="B21" s="19" t="inlineStr">
        <is>
          <t>obj-07</t>
        </is>
      </c>
      <c r="C21" s="25" t="inlineStr">
        <is>
          <t>CLO 4</t>
        </is>
      </c>
      <c r="D21" s="10" t="inlineStr">
        <is>
          <t>เปรียบเทียบข้อดีข้อเสียของฐานข้อมูลเชิงสัมพันธ์กับโนเอสคิวแอลได้</t>
        </is>
      </c>
    </row>
  </sheetData>
  <mergeCells count="2">
    <mergeCell ref="A10:I10"/>
    <mergeCell ref="A11:I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34" customWidth="1" min="3" max="3"/>
    <col width="26" customWidth="1" min="4" max="4"/>
    <col width="30" customWidth="1" min="5" max="5"/>
    <col width="16" customWidth="1" min="6" max="6"/>
    <col width="13" customWidth="1" min="7" max="7"/>
    <col width="17" customWidth="1" min="8" max="8"/>
    <col width="30" customWidth="1" min="9" max="9"/>
  </cols>
  <sheetData>
    <row r="1">
      <c r="A1" s="31" t="inlineStr">
        <is>
          <t>3 · แผนการประเมินผลการเรียนรู้</t>
        </is>
      </c>
    </row>
    <row r="2">
      <c r="A2" s="16" t="inlineStr">
        <is>
          <t>รูปแบบเดียวกับ มคอ.3 หมวดที่ 5 ข้อ 2 — ตารางนี้คือสิ่งที่อาจารย์เขียนอยู่แล้วทุกภาคการศึกษา ระบบเพียงรับข้อมูลชุดเดียวกันนี้เข้าไปเก็บให้เป็นระเบียบ</t>
        </is>
      </c>
    </row>
    <row r="4" ht="34" customHeight="1">
      <c r="A4" s="8" t="inlineStr">
        <is>
          <t>กิจกรรมที่</t>
        </is>
      </c>
      <c r="B4" s="8" t="inlineStr">
        <is>
          <t>รหัสในระบบ</t>
        </is>
      </c>
      <c r="C4" s="8" t="inlineStr">
        <is>
          <t>งาน/กิจกรรมที่ใช้ประเมิน</t>
        </is>
      </c>
      <c r="D4" s="8" t="inlineStr">
        <is>
          <t>วิธีการประเมิน</t>
        </is>
      </c>
      <c r="E4" s="8" t="inlineStr">
        <is>
          <t>ผลลัพธ์การเรียนรู้ที่ประเมิน</t>
        </is>
      </c>
      <c r="F4" s="8" t="inlineStr">
        <is>
          <t>สัปดาห์ที่ประเมิน</t>
        </is>
      </c>
      <c r="G4" s="8" t="inlineStr">
        <is>
          <t>คะแนนเต็ม</t>
        </is>
      </c>
      <c r="H4" s="8" t="inlineStr">
        <is>
          <t>สัดส่วนการประเมิน (%)</t>
        </is>
      </c>
      <c r="I4" s="8" t="inlineStr">
        <is>
          <t>เก็บที่คอลัมน์</t>
        </is>
      </c>
    </row>
    <row r="5" ht="30" customHeight="1">
      <c r="A5" s="25" t="n">
        <v>1</v>
      </c>
      <c r="B5" s="19" t="inlineStr">
        <is>
          <t>act-01</t>
        </is>
      </c>
      <c r="C5" s="18" t="inlineStr">
        <is>
          <t>แบบทดสอบย่อยครั้งที่ 1 — แผนภาพ ER</t>
        </is>
      </c>
      <c r="D5" s="18" t="inlineStr">
        <is>
          <t>สอบย่อย</t>
        </is>
      </c>
      <c r="E5" s="32" t="inlineStr">
        <is>
          <t>CLO 1 (100%)</t>
        </is>
      </c>
      <c r="F5" s="33" t="inlineStr">
        <is>
          <t>5</t>
        </is>
      </c>
      <c r="G5" s="26" t="n">
        <v>20</v>
      </c>
      <c r="H5" s="26" t="n">
        <v>10</v>
      </c>
      <c r="I5" s="19" t="inlineStr">
        <is>
          <t>Activity.maxScore / .weight</t>
        </is>
      </c>
    </row>
    <row r="6" ht="30" customHeight="1">
      <c r="A6" s="29" t="n">
        <v>2</v>
      </c>
      <c r="B6" s="20" t="inlineStr">
        <is>
          <t>act-02</t>
        </is>
      </c>
      <c r="C6" s="18" t="inlineStr">
        <is>
          <t>สอบกลางภาค</t>
        </is>
      </c>
      <c r="D6" s="18" t="inlineStr">
        <is>
          <t>สอบข้อเขียน</t>
        </is>
      </c>
      <c r="E6" s="34" t="inlineStr">
        <is>
          <t>CLO 1 (40%) · CLO 2 (60%)</t>
        </is>
      </c>
      <c r="F6" s="33" t="inlineStr">
        <is>
          <t>9</t>
        </is>
      </c>
      <c r="G6" s="26" t="n">
        <v>100</v>
      </c>
      <c r="H6" s="26" t="n">
        <v>30</v>
      </c>
      <c r="I6" s="20" t="inlineStr"/>
    </row>
    <row r="7" ht="30" customHeight="1">
      <c r="A7" s="25" t="n">
        <v>3</v>
      </c>
      <c r="B7" s="19" t="inlineStr">
        <is>
          <t>act-03</t>
        </is>
      </c>
      <c r="C7" s="18" t="inlineStr">
        <is>
          <t>ปฏิบัติการ SQL (Lab)</t>
        </is>
      </c>
      <c r="D7" s="18" t="inlineStr">
        <is>
          <t>ประเมินชิ้นงานปฏิบัติ</t>
        </is>
      </c>
      <c r="E7" s="32" t="inlineStr">
        <is>
          <t>CLO 2 (70%) · CLO 3 (30%)</t>
        </is>
      </c>
      <c r="F7" s="33" t="inlineStr">
        <is>
          <t>6-13</t>
        </is>
      </c>
      <c r="G7" s="26" t="n">
        <v>50</v>
      </c>
      <c r="H7" s="26" t="n">
        <v>20</v>
      </c>
      <c r="I7" s="19" t="inlineStr"/>
    </row>
    <row r="8" ht="30" customHeight="1">
      <c r="A8" s="29" t="n">
        <v>4</v>
      </c>
      <c r="B8" s="20" t="inlineStr">
        <is>
          <t>act-04</t>
        </is>
      </c>
      <c r="C8" s="18" t="inlineStr">
        <is>
          <t>โครงงานกลุ่ม</t>
        </is>
      </c>
      <c r="D8" s="18" t="inlineStr">
        <is>
          <t>ประเมินชิ้นงานและการนำเสนอ</t>
        </is>
      </c>
      <c r="E8" s="34" t="inlineStr">
        <is>
          <t>CLO 1 (20%) · CLO 3 (40%) · CLO 4 (40%)</t>
        </is>
      </c>
      <c r="F8" s="33" t="inlineStr">
        <is>
          <t>15</t>
        </is>
      </c>
      <c r="G8" s="26" t="n">
        <v>100</v>
      </c>
      <c r="H8" s="26" t="n">
        <v>25</v>
      </c>
      <c r="I8" s="20" t="inlineStr"/>
    </row>
    <row r="9" ht="30" customHeight="1">
      <c r="A9" s="25" t="n">
        <v>5</v>
      </c>
      <c r="B9" s="19" t="inlineStr">
        <is>
          <t>act-05</t>
        </is>
      </c>
      <c r="C9" s="18" t="inlineStr">
        <is>
          <t>สอบปลายภาค</t>
        </is>
      </c>
      <c r="D9" s="18" t="inlineStr">
        <is>
          <t>สอบข้อเขียน</t>
        </is>
      </c>
      <c r="E9" s="32" t="inlineStr">
        <is>
          <t>CLO 2 (50%) · CLO 3 (50%)</t>
        </is>
      </c>
      <c r="F9" s="33" t="inlineStr">
        <is>
          <t>17</t>
        </is>
      </c>
      <c r="G9" s="26" t="n">
        <v>100</v>
      </c>
      <c r="H9" s="26" t="n">
        <v>15</v>
      </c>
      <c r="I9" s="19" t="inlineStr"/>
    </row>
    <row r="10">
      <c r="C10" s="35" t="inlineStr">
        <is>
          <t>รวมสัดส่วนการประเมินทั้งหมด</t>
        </is>
      </c>
      <c r="H10" s="36">
        <f>SUM(H5:H9)</f>
        <v/>
      </c>
      <c r="I10" s="37">
        <f>IF(H10=100,"ครบ 100 ตามข้อกำหนด","ยังไม่ครบ 100 — ได้ "&amp;H10)</f>
        <v/>
      </c>
    </row>
    <row r="12" ht="30" customHeight="1">
      <c r="A12" s="14" t="inlineStr">
        <is>
          <t>คอลัมน์ 'ผลลัพธ์การเรียนรู้ที่ประเมิน' ใน มคอ.3 ปกติเขียนเพียงว่ากิจกรรมนี้วัด CLO ข้อใดบ้าง แต่ไม่ได้บอกว่าวัดข้อไหนมากน้อยเท่าใด ระบบจึงเพิ่มการระบุน้ำหนักรายคู่ในแผ่นงานถัดไป ซึ่งเป็นเงื่อนไขที่ทำให้คำนวณระดับการบรรลุ CLO ออกมาเป็นตัวเลขได้</t>
        </is>
      </c>
    </row>
    <row r="13" ht="30" customHeight="1">
      <c r="A13" s="38" t="inlineStr">
        <is>
          <t>ข้อจำกัดที่พบ — คอลัมน์ 'สัปดาห์ที่ประเมิน' (พื้นหลังสีชมพู) เป็นข้อมูลที่ มคอ.3 ต้องมี แต่ฐานข้อมูลของระบบรุ่นปัจจุบันยังไม่มีคอลัมน์รองรับ หากต้องการให้ระบบออกแบบฟอร์ม มคอ.3 ได้ครบถ้วน ต้องเพิ่มคอลัมน์นี้ในตาราง Activity ก่อน</t>
        </is>
      </c>
    </row>
  </sheetData>
  <mergeCells count="2">
    <mergeCell ref="A12:H12"/>
    <mergeCell ref="A13:H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  <col width="14" customWidth="1" min="7" max="7"/>
    <col width="26" customWidth="1" min="8" max="8"/>
  </cols>
  <sheetData>
    <row r="1">
      <c r="A1" s="15" t="inlineStr">
        <is>
          <t>4 · เมทริกซ์น้ำหนัก กิจกรรม × CLO</t>
        </is>
      </c>
    </row>
    <row r="2">
      <c r="A2" s="16" t="inlineStr">
        <is>
          <t>ส่วนที่ระบบเพิ่มจาก มคอ.3 — ระบุว่ากิจกรรมแต่ละอย่างแบ่งไปวัด CLO ข้อใดกี่เปอร์เซ็นต์  แต่ละแถวต้องรวมได้ 100  ·  ช่องที่เป็น 0 หมายถึงกิจกรรมนั้นไม่ได้วัด CLO ข้อนั้น</t>
        </is>
      </c>
    </row>
    <row r="4" ht="24" customHeight="1">
      <c r="A4" s="17" t="inlineStr">
        <is>
          <t>กิจกรรมที่</t>
        </is>
      </c>
      <c r="B4" s="17" t="inlineStr">
        <is>
          <t>งาน/กิจกรรมที่ใช้ประเมิน</t>
        </is>
      </c>
      <c r="C4" s="17" t="inlineStr">
        <is>
          <t>CLO 1</t>
        </is>
      </c>
      <c r="D4" s="17" t="inlineStr">
        <is>
          <t>CLO 2</t>
        </is>
      </c>
      <c r="E4" s="17" t="inlineStr">
        <is>
          <t>CLO 3</t>
        </is>
      </c>
      <c r="F4" s="17" t="inlineStr">
        <is>
          <t>CLO 4</t>
        </is>
      </c>
      <c r="G4" s="17" t="inlineStr">
        <is>
          <t>รวมแถว</t>
        </is>
      </c>
      <c r="H4" s="17" t="inlineStr">
        <is>
          <t>สถานะ</t>
        </is>
      </c>
    </row>
    <row r="5">
      <c r="A5" s="25" t="n">
        <v>1</v>
      </c>
      <c r="B5" s="9" t="inlineStr">
        <is>
          <t>แบบทดสอบย่อยครั้งที่ 1 — แผนภาพ ER</t>
        </is>
      </c>
      <c r="C5" s="26" t="n">
        <v>100</v>
      </c>
      <c r="D5" s="39" t="n">
        <v>0</v>
      </c>
      <c r="E5" s="39" t="n">
        <v>0</v>
      </c>
      <c r="F5" s="39" t="n">
        <v>0</v>
      </c>
      <c r="G5" s="40">
        <f>SUM(C5:F5)</f>
        <v/>
      </c>
      <c r="H5" s="41">
        <f>IF(G5=100,"ครบ 100","ผิด — ได้ "&amp;G5)</f>
        <v/>
      </c>
    </row>
    <row r="6">
      <c r="A6" s="29" t="n">
        <v>2</v>
      </c>
      <c r="B6" s="11" t="inlineStr">
        <is>
          <t>สอบกลางภาค</t>
        </is>
      </c>
      <c r="C6" s="26" t="n">
        <v>40</v>
      </c>
      <c r="D6" s="26" t="n">
        <v>60</v>
      </c>
      <c r="E6" s="39" t="n">
        <v>0</v>
      </c>
      <c r="F6" s="39" t="n">
        <v>0</v>
      </c>
      <c r="G6" s="42">
        <f>SUM(C6:F6)</f>
        <v/>
      </c>
      <c r="H6" s="43">
        <f>IF(G6=100,"ครบ 100","ผิด — ได้ "&amp;G6)</f>
        <v/>
      </c>
    </row>
    <row r="7">
      <c r="A7" s="25" t="n">
        <v>3</v>
      </c>
      <c r="B7" s="9" t="inlineStr">
        <is>
          <t>ปฏิบัติการ SQL (Lab)</t>
        </is>
      </c>
      <c r="C7" s="39" t="n">
        <v>0</v>
      </c>
      <c r="D7" s="26" t="n">
        <v>70</v>
      </c>
      <c r="E7" s="26" t="n">
        <v>30</v>
      </c>
      <c r="F7" s="39" t="n">
        <v>0</v>
      </c>
      <c r="G7" s="40">
        <f>SUM(C7:F7)</f>
        <v/>
      </c>
      <c r="H7" s="41">
        <f>IF(G7=100,"ครบ 100","ผิด — ได้ "&amp;G7)</f>
        <v/>
      </c>
    </row>
    <row r="8">
      <c r="A8" s="29" t="n">
        <v>4</v>
      </c>
      <c r="B8" s="11" t="inlineStr">
        <is>
          <t>โครงงานกลุ่ม</t>
        </is>
      </c>
      <c r="C8" s="26" t="n">
        <v>20</v>
      </c>
      <c r="D8" s="39" t="n">
        <v>0</v>
      </c>
      <c r="E8" s="26" t="n">
        <v>40</v>
      </c>
      <c r="F8" s="26" t="n">
        <v>40</v>
      </c>
      <c r="G8" s="42">
        <f>SUM(C8:F8)</f>
        <v/>
      </c>
      <c r="H8" s="43">
        <f>IF(G8=100,"ครบ 100","ผิด — ได้ "&amp;G8)</f>
        <v/>
      </c>
    </row>
    <row r="9">
      <c r="A9" s="25" t="n">
        <v>5</v>
      </c>
      <c r="B9" s="9" t="inlineStr">
        <is>
          <t>สอบปลายภาค</t>
        </is>
      </c>
      <c r="C9" s="39" t="n">
        <v>0</v>
      </c>
      <c r="D9" s="26" t="n">
        <v>50</v>
      </c>
      <c r="E9" s="26" t="n">
        <v>50</v>
      </c>
      <c r="F9" s="39" t="n">
        <v>0</v>
      </c>
      <c r="G9" s="40">
        <f>SUM(C9:F9)</f>
        <v/>
      </c>
      <c r="H9" s="41">
        <f>IF(G9=100,"ครบ 100","ผิด — ได้ "&amp;G9)</f>
        <v/>
      </c>
    </row>
    <row r="11">
      <c r="B11" s="44" t="inlineStr">
        <is>
          <t>น้ำหนักของ CLO ที่คำนวณได้ (%)</t>
        </is>
      </c>
      <c r="C11" s="45">
        <f>SUMPRODUCT('3 แผนประเมิน มคอ.3'!$H$5:$H$9,C5:C9)/100</f>
        <v/>
      </c>
      <c r="D11" s="45">
        <f>SUMPRODUCT('3 แผนประเมิน มคอ.3'!$H$5:$H$9,D5:D9)/100</f>
        <v/>
      </c>
      <c r="E11" s="45">
        <f>SUMPRODUCT('3 แผนประเมิน มคอ.3'!$H$5:$H$9,E5:E9)/100</f>
        <v/>
      </c>
      <c r="F11" s="45">
        <f>SUMPRODUCT('3 แผนประเมิน มคอ.3'!$H$5:$H$9,F5:F9)/100</f>
        <v/>
      </c>
      <c r="G11" s="45">
        <f>SUM(C11:F11)</f>
        <v/>
      </c>
      <c r="H11" s="46" t="inlineStr">
        <is>
          <t>รวมได้ 100 เสมอ</t>
        </is>
      </c>
    </row>
    <row r="13" ht="30" customHeight="1">
      <c r="A13" s="14" t="inlineStr">
        <is>
          <t>แถวสีเขียวคือน้ำหนักของ CLO แต่ละข้อเมื่อคิดจากทั้งรายวิชา ซึ่งเป็นค่าที่คำนวณได้เอง อาจารย์ไม่ต้องกรอก และไม่มีการเก็บซ้ำในฐานข้อมูล เพื่อไม่ให้มีวันที่ตัวเลขสองที่ไม่ตรงกัน</t>
        </is>
      </c>
    </row>
    <row r="14">
      <c r="A14" s="47" t="inlineStr">
        <is>
          <t>เมทริกซ์นี้มี 5×4 = 20 ช่อง แต่มีความสัมพันธ์ที่ต้องเก็บจริงเพียง 10 รายการ</t>
        </is>
      </c>
    </row>
  </sheetData>
  <mergeCells count="1">
    <mergeCell ref="A13:G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4" customWidth="1" min="4" max="4"/>
    <col width="40" customWidth="1" min="5" max="5"/>
  </cols>
  <sheetData>
    <row r="1">
      <c r="A1" s="15" t="inlineStr">
        <is>
          <t>5 · รายชื่อนักศึกษาในรายวิชา</t>
        </is>
      </c>
    </row>
    <row r="2">
      <c r="A2" s="16" t="inlineStr">
        <is>
          <t>นำเข้าจากไฟล์ Excel ได้ทั้งชั้น ไม่ต้องพิมพ์ทีละคน</t>
        </is>
      </c>
    </row>
    <row r="4" ht="24" customHeight="1">
      <c r="A4" s="17" t="inlineStr">
        <is>
          <t>ลำดับ</t>
        </is>
      </c>
      <c r="B4" s="17" t="inlineStr">
        <is>
          <t>รหัสในระบบ</t>
        </is>
      </c>
      <c r="C4" s="17" t="inlineStr">
        <is>
          <t>รหัสนักศึกษา</t>
        </is>
      </c>
      <c r="D4" s="17" t="inlineStr">
        <is>
          <t>ชื่อ-นามสกุล</t>
        </is>
      </c>
      <c r="E4" s="17" t="inlineStr">
        <is>
          <t>เก็บที่คอลัมน์</t>
        </is>
      </c>
    </row>
    <row r="5">
      <c r="A5" s="25" t="n">
        <v>1</v>
      </c>
      <c r="B5" s="19" t="inlineStr">
        <is>
          <t>std-01</t>
        </is>
      </c>
      <c r="C5" s="48" t="inlineStr">
        <is>
          <t>65010001</t>
        </is>
      </c>
      <c r="D5" s="18" t="inlineStr">
        <is>
          <t>นายกิตติพงษ์ แสงทอง</t>
        </is>
      </c>
      <c r="E5" s="19" t="inlineStr">
        <is>
          <t>Student.studentCode / .name</t>
        </is>
      </c>
    </row>
    <row r="6">
      <c r="A6" s="29" t="n">
        <v>2</v>
      </c>
      <c r="B6" s="20" t="inlineStr">
        <is>
          <t>std-02</t>
        </is>
      </c>
      <c r="C6" s="48" t="inlineStr">
        <is>
          <t>65010002</t>
        </is>
      </c>
      <c r="D6" s="18" t="inlineStr">
        <is>
          <t>นางสาวจิราพร มีสุข</t>
        </is>
      </c>
      <c r="E6" s="20" t="inlineStr"/>
    </row>
    <row r="7">
      <c r="A7" s="25" t="n">
        <v>3</v>
      </c>
      <c r="B7" s="19" t="inlineStr">
        <is>
          <t>std-03</t>
        </is>
      </c>
      <c r="C7" s="48" t="inlineStr">
        <is>
          <t>65010003</t>
        </is>
      </c>
      <c r="D7" s="18" t="inlineStr">
        <is>
          <t>นายธนกร ศรีสุข</t>
        </is>
      </c>
      <c r="E7" s="19" t="inlineStr"/>
    </row>
    <row r="8">
      <c r="A8" s="29" t="n">
        <v>4</v>
      </c>
      <c r="B8" s="20" t="inlineStr">
        <is>
          <t>std-04</t>
        </is>
      </c>
      <c r="C8" s="48" t="inlineStr">
        <is>
          <t>65010004</t>
        </is>
      </c>
      <c r="D8" s="18" t="inlineStr">
        <is>
          <t>นางสาวปาริชาติ วงศ์ดี</t>
        </is>
      </c>
      <c r="E8" s="20" t="inlineStr"/>
    </row>
    <row r="9">
      <c r="A9" s="25" t="n">
        <v>5</v>
      </c>
      <c r="B9" s="19" t="inlineStr">
        <is>
          <t>std-05</t>
        </is>
      </c>
      <c r="C9" s="48" t="inlineStr">
        <is>
          <t>65010005</t>
        </is>
      </c>
      <c r="D9" s="18" t="inlineStr">
        <is>
          <t>นายภานุวัฒน์ ทองสุข</t>
        </is>
      </c>
      <c r="E9" s="19" t="inlineStr"/>
    </row>
    <row r="10">
      <c r="A10" s="29" t="n">
        <v>6</v>
      </c>
      <c r="B10" s="20" t="inlineStr">
        <is>
          <t>std-06</t>
        </is>
      </c>
      <c r="C10" s="48" t="inlineStr">
        <is>
          <t>65010006</t>
        </is>
      </c>
      <c r="D10" s="18" t="inlineStr">
        <is>
          <t>นางสาวรัตนาภรณ์ ใจงาม</t>
        </is>
      </c>
      <c r="E10" s="20" t="inlineStr"/>
    </row>
    <row r="11">
      <c r="A11" s="25" t="n">
        <v>7</v>
      </c>
      <c r="B11" s="19" t="inlineStr">
        <is>
          <t>std-07</t>
        </is>
      </c>
      <c r="C11" s="48" t="inlineStr">
        <is>
          <t>65010007</t>
        </is>
      </c>
      <c r="D11" s="18" t="inlineStr">
        <is>
          <t>นายวรวุฒิ ชัยมงคล</t>
        </is>
      </c>
      <c r="E11" s="19" t="inlineStr"/>
    </row>
    <row r="12">
      <c r="A12" s="29" t="n">
        <v>8</v>
      </c>
      <c r="B12" s="20" t="inlineStr">
        <is>
          <t>std-08</t>
        </is>
      </c>
      <c r="C12" s="48" t="inlineStr">
        <is>
          <t>65010008</t>
        </is>
      </c>
      <c r="D12" s="18" t="inlineStr">
        <is>
          <t>นางสาวศิริพร แก้วมณี</t>
        </is>
      </c>
      <c r="E12" s="20" t="inlineStr"/>
    </row>
    <row r="14" ht="30" customHeight="1">
      <c r="A14" s="14" t="inlineStr">
        <is>
          <t>หนึ่งแถวคือการลงทะเบียนเรียนหนึ่งครั้ง ไม่ใช่ตัวบุคคล — นักศึกษาคนเดียวที่ลงเรียนสามรายวิชา จะปรากฏสามแถวในระบบ ซึ่งเป็นการออกแบบที่ตั้งใจ เพราะคะแนนและผลการบรรลุ CLO ผูกกับรายวิชาเสมอ</t>
        </is>
      </c>
    </row>
  </sheetData>
  <mergeCells count="1">
    <mergeCell ref="A14:E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2" customWidth="1" min="9" max="9"/>
  </cols>
  <sheetData>
    <row r="1">
      <c r="A1" s="15" t="inlineStr">
        <is>
          <t>6 · หน้าจอกรอกคะแนน</t>
        </is>
      </c>
    </row>
    <row r="2">
      <c r="A2" s="16" t="inlineStr">
        <is>
          <t>งานประจำที่อาจารย์ทำจริง — กรอกได้ทีละกิจกรรม ไม่ต้องรอให้ครบทุกกิจกรรม</t>
        </is>
      </c>
    </row>
    <row r="4" ht="38" customHeight="1">
      <c r="A4" s="17" t="inlineStr">
        <is>
          <t>ลำดับ</t>
        </is>
      </c>
      <c r="B4" s="17" t="inlineStr">
        <is>
          <t>รหัสนักศึกษา</t>
        </is>
      </c>
      <c r="C4" s="17" t="inlineStr">
        <is>
          <t>ชื่อ-นามสกุล</t>
        </is>
      </c>
      <c r="D4" s="17">
        <f>'3 แผนประเมิน มคอ.3'!C5&amp;" (เต็ม "&amp;'3 แผนประเมิน มคอ.3'!G5&amp;")"</f>
        <v/>
      </c>
      <c r="E4" s="17">
        <f>'3 แผนประเมิน มคอ.3'!C6&amp;" (เต็ม "&amp;'3 แผนประเมิน มคอ.3'!G6&amp;")"</f>
        <v/>
      </c>
      <c r="F4" s="17">
        <f>'3 แผนประเมิน มคอ.3'!C7&amp;" (เต็ม "&amp;'3 แผนประเมิน มคอ.3'!G7&amp;")"</f>
        <v/>
      </c>
      <c r="G4" s="17">
        <f>'3 แผนประเมิน มคอ.3'!C8&amp;" (เต็ม "&amp;'3 แผนประเมิน มคอ.3'!G8&amp;")"</f>
        <v/>
      </c>
      <c r="H4" s="17">
        <f>'3 แผนประเมิน มคอ.3'!C9&amp;" (เต็ม "&amp;'3 แผนประเมิน มคอ.3'!G9&amp;")"</f>
        <v/>
      </c>
      <c r="I4" s="17" t="inlineStr">
        <is>
          <t>จำนวนแถวที่เกิดในฐานข้อมูล</t>
        </is>
      </c>
    </row>
    <row r="5">
      <c r="A5" s="25" t="n">
        <v>1</v>
      </c>
      <c r="B5" s="49" t="inlineStr">
        <is>
          <t>65010001</t>
        </is>
      </c>
      <c r="C5" s="10" t="inlineStr">
        <is>
          <t>นายกิตติพงษ์ แสงทอง</t>
        </is>
      </c>
      <c r="D5" s="26" t="n">
        <v>18</v>
      </c>
      <c r="E5" s="26" t="n">
        <v>85</v>
      </c>
      <c r="F5" s="26" t="n">
        <v>45</v>
      </c>
      <c r="G5" s="26" t="n">
        <v>88</v>
      </c>
      <c r="H5" s="26" t="n">
        <v>82</v>
      </c>
      <c r="I5" s="32" t="inlineStr">
        <is>
          <t>5 แถว — ครบทุกกิจกรรม</t>
        </is>
      </c>
    </row>
    <row r="6">
      <c r="A6" s="29" t="n">
        <v>2</v>
      </c>
      <c r="B6" s="50" t="inlineStr">
        <is>
          <t>65010002</t>
        </is>
      </c>
      <c r="C6" s="12" t="inlineStr">
        <is>
          <t>นางสาวจิราพร มีสุข</t>
        </is>
      </c>
      <c r="D6" s="26" t="n">
        <v>15</v>
      </c>
      <c r="E6" s="26" t="n">
        <v>70</v>
      </c>
      <c r="F6" s="26" t="n">
        <v>38</v>
      </c>
      <c r="G6" s="26" t="n">
        <v>75</v>
      </c>
      <c r="H6" s="26" t="n">
        <v>68</v>
      </c>
      <c r="I6" s="34" t="inlineStr">
        <is>
          <t>5 แถว — ครบทุกกิจกรรม</t>
        </is>
      </c>
    </row>
    <row r="7">
      <c r="A7" s="25" t="n">
        <v>3</v>
      </c>
      <c r="B7" s="49" t="inlineStr">
        <is>
          <t>65010003</t>
        </is>
      </c>
      <c r="C7" s="10" t="inlineStr">
        <is>
          <t>นายธนกร ศรีสุข</t>
        </is>
      </c>
      <c r="D7" s="26" t="n">
        <v>12</v>
      </c>
      <c r="E7" s="26" t="n">
        <v>55</v>
      </c>
      <c r="F7" s="26" t="n">
        <v>30</v>
      </c>
      <c r="G7" s="26" t="n">
        <v>62</v>
      </c>
      <c r="H7" s="26" t="n">
        <v>58</v>
      </c>
      <c r="I7" s="32" t="inlineStr">
        <is>
          <t>5 แถว — ครบทุกกิจกรรม</t>
        </is>
      </c>
    </row>
    <row r="8">
      <c r="A8" s="29" t="n">
        <v>4</v>
      </c>
      <c r="B8" s="50" t="inlineStr">
        <is>
          <t>65010004</t>
        </is>
      </c>
      <c r="C8" s="12" t="inlineStr">
        <is>
          <t>นางสาวปาริชาติ วงศ์ดี</t>
        </is>
      </c>
      <c r="D8" s="26" t="n">
        <v>8</v>
      </c>
      <c r="E8" s="26" t="n">
        <v>42</v>
      </c>
      <c r="F8" s="26" t="n">
        <v>22</v>
      </c>
      <c r="G8" s="26" t="n">
        <v>55</v>
      </c>
      <c r="H8" s="26" t="n">
        <v>40</v>
      </c>
      <c r="I8" s="34" t="inlineStr">
        <is>
          <t>5 แถว — ครบทุกกิจกรรม</t>
        </is>
      </c>
    </row>
    <row r="9">
      <c r="A9" s="25" t="n">
        <v>5</v>
      </c>
      <c r="B9" s="49" t="inlineStr">
        <is>
          <t>65010005</t>
        </is>
      </c>
      <c r="C9" s="10" t="inlineStr">
        <is>
          <t>นายภานุวัฒน์ ทองสุข</t>
        </is>
      </c>
      <c r="D9" s="26" t="n">
        <v>20</v>
      </c>
      <c r="E9" s="26" t="n">
        <v>92</v>
      </c>
      <c r="F9" s="26" t="n">
        <v>48</v>
      </c>
      <c r="G9" s="26" t="n">
        <v>95</v>
      </c>
      <c r="H9" s="26" t="n">
        <v>90</v>
      </c>
      <c r="I9" s="32" t="inlineStr">
        <is>
          <t>5 แถว — ครบทุกกิจกรรม</t>
        </is>
      </c>
    </row>
    <row r="10">
      <c r="A10" s="29" t="n">
        <v>6</v>
      </c>
      <c r="B10" s="50" t="inlineStr">
        <is>
          <t>65010006</t>
        </is>
      </c>
      <c r="C10" s="12" t="inlineStr">
        <is>
          <t>นางสาวรัตนาภรณ์ ใจงาม</t>
        </is>
      </c>
      <c r="D10" s="26" t="n">
        <v>14</v>
      </c>
      <c r="E10" s="26" t="n">
        <v>65</v>
      </c>
      <c r="F10" s="51" t="n"/>
      <c r="G10" s="26" t="n">
        <v>70</v>
      </c>
      <c r="H10" s="26" t="n">
        <v>60</v>
      </c>
      <c r="I10" s="34" t="inlineStr">
        <is>
          <t>4 แถว — ยังไม่ประเมิน 1 กิจกรรม</t>
        </is>
      </c>
    </row>
    <row r="11">
      <c r="A11" s="25" t="n">
        <v>7</v>
      </c>
      <c r="B11" s="49" t="inlineStr">
        <is>
          <t>65010007</t>
        </is>
      </c>
      <c r="C11" s="10" t="inlineStr">
        <is>
          <t>นายวรวุฒิ ชัยมงคล</t>
        </is>
      </c>
      <c r="D11" s="26" t="n">
        <v>0</v>
      </c>
      <c r="E11" s="26" t="n">
        <v>38</v>
      </c>
      <c r="F11" s="26" t="n">
        <v>20</v>
      </c>
      <c r="G11" s="26" t="n">
        <v>50</v>
      </c>
      <c r="H11" s="26" t="n">
        <v>35</v>
      </c>
      <c r="I11" s="32" t="inlineStr">
        <is>
          <t>5 แถว — ครบทุกกิจกรรม</t>
        </is>
      </c>
    </row>
    <row r="12">
      <c r="A12" s="29" t="n">
        <v>8</v>
      </c>
      <c r="B12" s="50" t="inlineStr">
        <is>
          <t>65010008</t>
        </is>
      </c>
      <c r="C12" s="12" t="inlineStr">
        <is>
          <t>นางสาวศิริพร แก้วมณี</t>
        </is>
      </c>
      <c r="D12" s="51" t="n"/>
      <c r="E12" s="51" t="n"/>
      <c r="F12" s="51" t="n"/>
      <c r="G12" s="51" t="n"/>
      <c r="H12" s="51" t="n"/>
      <c r="I12" s="34" t="inlineStr">
        <is>
          <t>0 แถว — ยังไม่ประเมิน 5 กิจกรรม</t>
        </is>
      </c>
    </row>
    <row r="14" ht="30" customHeight="1">
      <c r="A14" s="52" t="inlineStr">
        <is>
          <t>ช่องที่เว้นว่างหมายถึงยังไม่ได้ประเมิน ต่างจากการให้ 0 คะแนนซึ่งหมายถึงประเมินแล้วและได้ 0 จริง ระบบแยกสองกรณีนี้ออกจากกันในทุกการคำนวณ — เปรียบเทียบได้จากนักศึกษารหัส 65010007 ที่ได้ 0 จริง กับรหัส 65010008 ที่ยังไม่ถูกประเมินเลย</t>
        </is>
      </c>
    </row>
    <row r="15" ht="30" customHeight="1">
      <c r="A15" s="14" t="inlineStr">
        <is>
          <t>กรอกไปแล้ว 34 ช่อง จากทั้งหมด 40 ช่อง — ฐานข้อมูลจึงมีคะแนนอยู่ 34 รายการ ไม่ใช่ 40 รายการ</t>
        </is>
      </c>
    </row>
  </sheetData>
  <mergeCells count="2">
    <mergeCell ref="A14:F14"/>
    <mergeCell ref="A15:F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7" customWidth="1" min="9" max="9"/>
    <col width="13" customWidth="1" min="10" max="10"/>
    <col width="17" customWidth="1" min="11" max="11"/>
    <col width="22" customWidth="1" min="12" max="12"/>
  </cols>
  <sheetData>
    <row r="1">
      <c r="A1" s="53" t="inlineStr">
        <is>
          <t>7 · ผลการบรรลุ CLO (ระบบคำนวณให้ทั้งหมด)</t>
        </is>
      </c>
    </row>
    <row r="2">
      <c r="A2" s="16" t="inlineStr">
        <is>
          <t>อาจารย์ไม่ต้องกรอกอะไรในแผ่นนี้ ทุกตัวเลขคำนวณจากคะแนนในแผ่นที่ 6 และน้ำหนักในแผ่นที่ 4  ·  ลองแก้คะแนนในแผ่นที่ 6 แล้วกลับมาดู ตัวเลขจะเปลี่ยนทันที</t>
        </is>
      </c>
    </row>
    <row r="4">
      <c r="A4" s="13" t="inlineStr">
        <is>
          <t>ขั้นที่ 1 — สัดส่วนคะแนนที่ทำได้ของแต่ละกิจกรรม</t>
        </is>
      </c>
    </row>
    <row r="5" ht="24" customHeight="1">
      <c r="A5" s="54" t="inlineStr">
        <is>
          <t>ลำดับ</t>
        </is>
      </c>
      <c r="B5" s="54" t="inlineStr">
        <is>
          <t>รหัส</t>
        </is>
      </c>
      <c r="C5" s="54" t="inlineStr">
        <is>
          <t>ชื่อ-นามสกุล</t>
        </is>
      </c>
      <c r="D5" s="54" t="inlineStr">
        <is>
          <t>กิจกรรมที่ 1</t>
        </is>
      </c>
      <c r="E5" s="54" t="inlineStr">
        <is>
          <t>กิจกรรมที่ 2</t>
        </is>
      </c>
      <c r="F5" s="54" t="inlineStr">
        <is>
          <t>กิจกรรมที่ 3</t>
        </is>
      </c>
      <c r="G5" s="54" t="inlineStr">
        <is>
          <t>กิจกรรมที่ 4</t>
        </is>
      </c>
      <c r="H5" s="54" t="inlineStr">
        <is>
          <t>กิจกรรมที่ 5</t>
        </is>
      </c>
    </row>
    <row r="6">
      <c r="A6" s="25" t="n">
        <v>1</v>
      </c>
      <c r="B6" s="49" t="inlineStr">
        <is>
          <t>65010001</t>
        </is>
      </c>
      <c r="C6" s="10" t="inlineStr">
        <is>
          <t>นายกิตติพงษ์ แสงทอง</t>
        </is>
      </c>
      <c r="D6" s="55">
        <f>IF('6 กรอกคะแนน'!D5="",0,'6 กรอกคะแนน'!D5/'3 แผนประเมิน มคอ.3'!$G$5)</f>
        <v/>
      </c>
      <c r="E6" s="55">
        <f>IF('6 กรอกคะแนน'!E5="",0,'6 กรอกคะแนน'!E5/'3 แผนประเมิน มคอ.3'!$G$6)</f>
        <v/>
      </c>
      <c r="F6" s="55">
        <f>IF('6 กรอกคะแนน'!F5="",0,'6 กรอกคะแนน'!F5/'3 แผนประเมิน มคอ.3'!$G$7)</f>
        <v/>
      </c>
      <c r="G6" s="55">
        <f>IF('6 กรอกคะแนน'!G5="",0,'6 กรอกคะแนน'!G5/'3 แผนประเมิน มคอ.3'!$G$8)</f>
        <v/>
      </c>
      <c r="H6" s="55">
        <f>IF('6 กรอกคะแนน'!H5="",0,'6 กรอกคะแนน'!H5/'3 แผนประเมิน มคอ.3'!$G$9)</f>
        <v/>
      </c>
    </row>
    <row r="7">
      <c r="A7" s="29" t="n">
        <v>2</v>
      </c>
      <c r="B7" s="50" t="inlineStr">
        <is>
          <t>65010002</t>
        </is>
      </c>
      <c r="C7" s="12" t="inlineStr">
        <is>
          <t>นางสาวจิราพร มีสุข</t>
        </is>
      </c>
      <c r="D7" s="56">
        <f>IF('6 กรอกคะแนน'!D6="",0,'6 กรอกคะแนน'!D6/'3 แผนประเมิน มคอ.3'!$G$5)</f>
        <v/>
      </c>
      <c r="E7" s="56">
        <f>IF('6 กรอกคะแนน'!E6="",0,'6 กรอกคะแนน'!E6/'3 แผนประเมิน มคอ.3'!$G$6)</f>
        <v/>
      </c>
      <c r="F7" s="56">
        <f>IF('6 กรอกคะแนน'!F6="",0,'6 กรอกคะแนน'!F6/'3 แผนประเมิน มคอ.3'!$G$7)</f>
        <v/>
      </c>
      <c r="G7" s="56">
        <f>IF('6 กรอกคะแนน'!G6="",0,'6 กรอกคะแนน'!G6/'3 แผนประเมิน มคอ.3'!$G$8)</f>
        <v/>
      </c>
      <c r="H7" s="56">
        <f>IF('6 กรอกคะแนน'!H6="",0,'6 กรอกคะแนน'!H6/'3 แผนประเมิน มคอ.3'!$G$9)</f>
        <v/>
      </c>
    </row>
    <row r="8">
      <c r="A8" s="25" t="n">
        <v>3</v>
      </c>
      <c r="B8" s="49" t="inlineStr">
        <is>
          <t>65010003</t>
        </is>
      </c>
      <c r="C8" s="10" t="inlineStr">
        <is>
          <t>นายธนกร ศรีสุข</t>
        </is>
      </c>
      <c r="D8" s="55">
        <f>IF('6 กรอกคะแนน'!D7="",0,'6 กรอกคะแนน'!D7/'3 แผนประเมิน มคอ.3'!$G$5)</f>
        <v/>
      </c>
      <c r="E8" s="55">
        <f>IF('6 กรอกคะแนน'!E7="",0,'6 กรอกคะแนน'!E7/'3 แผนประเมิน มคอ.3'!$G$6)</f>
        <v/>
      </c>
      <c r="F8" s="55">
        <f>IF('6 กรอกคะแนน'!F7="",0,'6 กรอกคะแนน'!F7/'3 แผนประเมิน มคอ.3'!$G$7)</f>
        <v/>
      </c>
      <c r="G8" s="55">
        <f>IF('6 กรอกคะแนน'!G7="",0,'6 กรอกคะแนน'!G7/'3 แผนประเมิน มคอ.3'!$G$8)</f>
        <v/>
      </c>
      <c r="H8" s="55">
        <f>IF('6 กรอกคะแนน'!H7="",0,'6 กรอกคะแนน'!H7/'3 แผนประเมิน มคอ.3'!$G$9)</f>
        <v/>
      </c>
    </row>
    <row r="9">
      <c r="A9" s="29" t="n">
        <v>4</v>
      </c>
      <c r="B9" s="50" t="inlineStr">
        <is>
          <t>65010004</t>
        </is>
      </c>
      <c r="C9" s="12" t="inlineStr">
        <is>
          <t>นางสาวปาริชาติ วงศ์ดี</t>
        </is>
      </c>
      <c r="D9" s="56">
        <f>IF('6 กรอกคะแนน'!D8="",0,'6 กรอกคะแนน'!D8/'3 แผนประเมิน มคอ.3'!$G$5)</f>
        <v/>
      </c>
      <c r="E9" s="56">
        <f>IF('6 กรอกคะแนน'!E8="",0,'6 กรอกคะแนน'!E8/'3 แผนประเมิน มคอ.3'!$G$6)</f>
        <v/>
      </c>
      <c r="F9" s="56">
        <f>IF('6 กรอกคะแนน'!F8="",0,'6 กรอกคะแนน'!F8/'3 แผนประเมิน มคอ.3'!$G$7)</f>
        <v/>
      </c>
      <c r="G9" s="56">
        <f>IF('6 กรอกคะแนน'!G8="",0,'6 กรอกคะแนน'!G8/'3 แผนประเมิน มคอ.3'!$G$8)</f>
        <v/>
      </c>
      <c r="H9" s="56">
        <f>IF('6 กรอกคะแนน'!H8="",0,'6 กรอกคะแนน'!H8/'3 แผนประเมิน มคอ.3'!$G$9)</f>
        <v/>
      </c>
    </row>
    <row r="10">
      <c r="A10" s="25" t="n">
        <v>5</v>
      </c>
      <c r="B10" s="49" t="inlineStr">
        <is>
          <t>65010005</t>
        </is>
      </c>
      <c r="C10" s="10" t="inlineStr">
        <is>
          <t>นายภานุวัฒน์ ทองสุข</t>
        </is>
      </c>
      <c r="D10" s="55">
        <f>IF('6 กรอกคะแนน'!D9="",0,'6 กรอกคะแนน'!D9/'3 แผนประเมิน มคอ.3'!$G$5)</f>
        <v/>
      </c>
      <c r="E10" s="55">
        <f>IF('6 กรอกคะแนน'!E9="",0,'6 กรอกคะแนน'!E9/'3 แผนประเมิน มคอ.3'!$G$6)</f>
        <v/>
      </c>
      <c r="F10" s="55">
        <f>IF('6 กรอกคะแนน'!F9="",0,'6 กรอกคะแนน'!F9/'3 แผนประเมิน มคอ.3'!$G$7)</f>
        <v/>
      </c>
      <c r="G10" s="55">
        <f>IF('6 กรอกคะแนน'!G9="",0,'6 กรอกคะแนน'!G9/'3 แผนประเมิน มคอ.3'!$G$8)</f>
        <v/>
      </c>
      <c r="H10" s="55">
        <f>IF('6 กรอกคะแนน'!H9="",0,'6 กรอกคะแนน'!H9/'3 แผนประเมิน มคอ.3'!$G$9)</f>
        <v/>
      </c>
    </row>
    <row r="11">
      <c r="A11" s="29" t="n">
        <v>6</v>
      </c>
      <c r="B11" s="50" t="inlineStr">
        <is>
          <t>65010006</t>
        </is>
      </c>
      <c r="C11" s="12" t="inlineStr">
        <is>
          <t>นางสาวรัตนาภรณ์ ใจงาม</t>
        </is>
      </c>
      <c r="D11" s="56">
        <f>IF('6 กรอกคะแนน'!D10="",0,'6 กรอกคะแนน'!D10/'3 แผนประเมิน มคอ.3'!$G$5)</f>
        <v/>
      </c>
      <c r="E11" s="56">
        <f>IF('6 กรอกคะแนน'!E10="",0,'6 กรอกคะแนน'!E10/'3 แผนประเมิน มคอ.3'!$G$6)</f>
        <v/>
      </c>
      <c r="F11" s="56">
        <f>IF('6 กรอกคะแนน'!F10="",0,'6 กรอกคะแนน'!F10/'3 แผนประเมิน มคอ.3'!$G$7)</f>
        <v/>
      </c>
      <c r="G11" s="56">
        <f>IF('6 กรอกคะแนน'!G10="",0,'6 กรอกคะแนน'!G10/'3 แผนประเมิน มคอ.3'!$G$8)</f>
        <v/>
      </c>
      <c r="H11" s="56">
        <f>IF('6 กรอกคะแนน'!H10="",0,'6 กรอกคะแนน'!H10/'3 แผนประเมิน มคอ.3'!$G$9)</f>
        <v/>
      </c>
    </row>
    <row r="12">
      <c r="A12" s="25" t="n">
        <v>7</v>
      </c>
      <c r="B12" s="49" t="inlineStr">
        <is>
          <t>65010007</t>
        </is>
      </c>
      <c r="C12" s="10" t="inlineStr">
        <is>
          <t>นายวรวุฒิ ชัยมงคล</t>
        </is>
      </c>
      <c r="D12" s="55">
        <f>IF('6 กรอกคะแนน'!D11="",0,'6 กรอกคะแนน'!D11/'3 แผนประเมิน มคอ.3'!$G$5)</f>
        <v/>
      </c>
      <c r="E12" s="55">
        <f>IF('6 กรอกคะแนน'!E11="",0,'6 กรอกคะแนน'!E11/'3 แผนประเมิน มคอ.3'!$G$6)</f>
        <v/>
      </c>
      <c r="F12" s="55">
        <f>IF('6 กรอกคะแนน'!F11="",0,'6 กรอกคะแนน'!F11/'3 แผนประเมิน มคอ.3'!$G$7)</f>
        <v/>
      </c>
      <c r="G12" s="55">
        <f>IF('6 กรอกคะแนน'!G11="",0,'6 กรอกคะแนน'!G11/'3 แผนประเมิน มคอ.3'!$G$8)</f>
        <v/>
      </c>
      <c r="H12" s="55">
        <f>IF('6 กรอกคะแนน'!H11="",0,'6 กรอกคะแนน'!H11/'3 แผนประเมิน มคอ.3'!$G$9)</f>
        <v/>
      </c>
    </row>
    <row r="13">
      <c r="A13" s="29" t="n">
        <v>8</v>
      </c>
      <c r="B13" s="50" t="inlineStr">
        <is>
          <t>65010008</t>
        </is>
      </c>
      <c r="C13" s="12" t="inlineStr">
        <is>
          <t>นางสาวศิริพร แก้วมณี</t>
        </is>
      </c>
      <c r="D13" s="56">
        <f>IF('6 กรอกคะแนน'!D12="",0,'6 กรอกคะแนน'!D12/'3 แผนประเมิน มคอ.3'!$G$5)</f>
        <v/>
      </c>
      <c r="E13" s="56">
        <f>IF('6 กรอกคะแนน'!E12="",0,'6 กรอกคะแนน'!E12/'3 แผนประเมิน มคอ.3'!$G$6)</f>
        <v/>
      </c>
      <c r="F13" s="56">
        <f>IF('6 กรอกคะแนน'!F12="",0,'6 กรอกคะแนน'!F12/'3 แผนประเมิน มคอ.3'!$G$7)</f>
        <v/>
      </c>
      <c r="G13" s="56">
        <f>IF('6 กรอกคะแนน'!G12="",0,'6 กรอกคะแนน'!G12/'3 แผนประเมิน มคอ.3'!$G$8)</f>
        <v/>
      </c>
      <c r="H13" s="56">
        <f>IF('6 กรอกคะแนน'!H12="",0,'6 กรอกคะแนน'!H12/'3 แผนประเมิน มคอ.3'!$G$9)</f>
        <v/>
      </c>
    </row>
    <row r="15">
      <c r="A15" s="13" t="inlineStr">
        <is>
          <t>ขั้นที่ 2 — ประเมินแล้วหรือยัง (1 = ประเมินแล้ว, 0 = ยังไม่ประเมิน)</t>
        </is>
      </c>
    </row>
    <row r="16" ht="24" customHeight="1">
      <c r="A16" s="54" t="inlineStr">
        <is>
          <t>ลำดับ</t>
        </is>
      </c>
      <c r="B16" s="54" t="inlineStr">
        <is>
          <t>รหัส</t>
        </is>
      </c>
      <c r="C16" s="54" t="inlineStr">
        <is>
          <t>ชื่อ-นามสกุล</t>
        </is>
      </c>
      <c r="D16" s="54" t="inlineStr">
        <is>
          <t>กิจกรรมที่ 1</t>
        </is>
      </c>
      <c r="E16" s="54" t="inlineStr">
        <is>
          <t>กิจกรรมที่ 2</t>
        </is>
      </c>
      <c r="F16" s="54" t="inlineStr">
        <is>
          <t>กิจกรรมที่ 3</t>
        </is>
      </c>
      <c r="G16" s="54" t="inlineStr">
        <is>
          <t>กิจกรรมที่ 4</t>
        </is>
      </c>
      <c r="H16" s="54" t="inlineStr">
        <is>
          <t>กิจกรรมที่ 5</t>
        </is>
      </c>
    </row>
    <row r="17">
      <c r="A17" s="25" t="n">
        <v>1</v>
      </c>
      <c r="B17" s="49" t="inlineStr">
        <is>
          <t>65010001</t>
        </is>
      </c>
      <c r="C17" s="10" t="inlineStr">
        <is>
          <t>นายกิตติพงษ์ แสงทอง</t>
        </is>
      </c>
      <c r="D17" s="25">
        <f>IF('6 กรอกคะแนน'!D5="",0,1)</f>
        <v/>
      </c>
      <c r="E17" s="25">
        <f>IF('6 กรอกคะแนน'!E5="",0,1)</f>
        <v/>
      </c>
      <c r="F17" s="25">
        <f>IF('6 กรอกคะแนน'!F5="",0,1)</f>
        <v/>
      </c>
      <c r="G17" s="25">
        <f>IF('6 กรอกคะแนน'!G5="",0,1)</f>
        <v/>
      </c>
      <c r="H17" s="25">
        <f>IF('6 กรอกคะแนน'!H5="",0,1)</f>
        <v/>
      </c>
    </row>
    <row r="18">
      <c r="A18" s="29" t="n">
        <v>2</v>
      </c>
      <c r="B18" s="50" t="inlineStr">
        <is>
          <t>65010002</t>
        </is>
      </c>
      <c r="C18" s="12" t="inlineStr">
        <is>
          <t>นางสาวจิราพร มีสุข</t>
        </is>
      </c>
      <c r="D18" s="29">
        <f>IF('6 กรอกคะแนน'!D6="",0,1)</f>
        <v/>
      </c>
      <c r="E18" s="29">
        <f>IF('6 กรอกคะแนน'!E6="",0,1)</f>
        <v/>
      </c>
      <c r="F18" s="29">
        <f>IF('6 กรอกคะแนน'!F6="",0,1)</f>
        <v/>
      </c>
      <c r="G18" s="29">
        <f>IF('6 กรอกคะแนน'!G6="",0,1)</f>
        <v/>
      </c>
      <c r="H18" s="29">
        <f>IF('6 กรอกคะแนน'!H6="",0,1)</f>
        <v/>
      </c>
    </row>
    <row r="19">
      <c r="A19" s="25" t="n">
        <v>3</v>
      </c>
      <c r="B19" s="49" t="inlineStr">
        <is>
          <t>65010003</t>
        </is>
      </c>
      <c r="C19" s="10" t="inlineStr">
        <is>
          <t>นายธนกร ศรีสุข</t>
        </is>
      </c>
      <c r="D19" s="25">
        <f>IF('6 กรอกคะแนน'!D7="",0,1)</f>
        <v/>
      </c>
      <c r="E19" s="25">
        <f>IF('6 กรอกคะแนน'!E7="",0,1)</f>
        <v/>
      </c>
      <c r="F19" s="25">
        <f>IF('6 กรอกคะแนน'!F7="",0,1)</f>
        <v/>
      </c>
      <c r="G19" s="25">
        <f>IF('6 กรอกคะแนน'!G7="",0,1)</f>
        <v/>
      </c>
      <c r="H19" s="25">
        <f>IF('6 กรอกคะแนน'!H7="",0,1)</f>
        <v/>
      </c>
    </row>
    <row r="20">
      <c r="A20" s="29" t="n">
        <v>4</v>
      </c>
      <c r="B20" s="50" t="inlineStr">
        <is>
          <t>65010004</t>
        </is>
      </c>
      <c r="C20" s="12" t="inlineStr">
        <is>
          <t>นางสาวปาริชาติ วงศ์ดี</t>
        </is>
      </c>
      <c r="D20" s="29">
        <f>IF('6 กรอกคะแนน'!D8="",0,1)</f>
        <v/>
      </c>
      <c r="E20" s="29">
        <f>IF('6 กรอกคะแนน'!E8="",0,1)</f>
        <v/>
      </c>
      <c r="F20" s="29">
        <f>IF('6 กรอกคะแนน'!F8="",0,1)</f>
        <v/>
      </c>
      <c r="G20" s="29">
        <f>IF('6 กรอกคะแนน'!G8="",0,1)</f>
        <v/>
      </c>
      <c r="H20" s="29">
        <f>IF('6 กรอกคะแนน'!H8="",0,1)</f>
        <v/>
      </c>
    </row>
    <row r="21">
      <c r="A21" s="25" t="n">
        <v>5</v>
      </c>
      <c r="B21" s="49" t="inlineStr">
        <is>
          <t>65010005</t>
        </is>
      </c>
      <c r="C21" s="10" t="inlineStr">
        <is>
          <t>นายภานุวัฒน์ ทองสุข</t>
        </is>
      </c>
      <c r="D21" s="25">
        <f>IF('6 กรอกคะแนน'!D9="",0,1)</f>
        <v/>
      </c>
      <c r="E21" s="25">
        <f>IF('6 กรอกคะแนน'!E9="",0,1)</f>
        <v/>
      </c>
      <c r="F21" s="25">
        <f>IF('6 กรอกคะแนน'!F9="",0,1)</f>
        <v/>
      </c>
      <c r="G21" s="25">
        <f>IF('6 กรอกคะแนน'!G9="",0,1)</f>
        <v/>
      </c>
      <c r="H21" s="25">
        <f>IF('6 กรอกคะแนน'!H9="",0,1)</f>
        <v/>
      </c>
    </row>
    <row r="22">
      <c r="A22" s="29" t="n">
        <v>6</v>
      </c>
      <c r="B22" s="50" t="inlineStr">
        <is>
          <t>65010006</t>
        </is>
      </c>
      <c r="C22" s="12" t="inlineStr">
        <is>
          <t>นางสาวรัตนาภรณ์ ใจงาม</t>
        </is>
      </c>
      <c r="D22" s="29">
        <f>IF('6 กรอกคะแนน'!D10="",0,1)</f>
        <v/>
      </c>
      <c r="E22" s="29">
        <f>IF('6 กรอกคะแนน'!E10="",0,1)</f>
        <v/>
      </c>
      <c r="F22" s="29">
        <f>IF('6 กรอกคะแนน'!F10="",0,1)</f>
        <v/>
      </c>
      <c r="G22" s="29">
        <f>IF('6 กรอกคะแนน'!G10="",0,1)</f>
        <v/>
      </c>
      <c r="H22" s="29">
        <f>IF('6 กรอกคะแนน'!H10="",0,1)</f>
        <v/>
      </c>
    </row>
    <row r="23">
      <c r="A23" s="25" t="n">
        <v>7</v>
      </c>
      <c r="B23" s="49" t="inlineStr">
        <is>
          <t>65010007</t>
        </is>
      </c>
      <c r="C23" s="10" t="inlineStr">
        <is>
          <t>นายวรวุฒิ ชัยมงคล</t>
        </is>
      </c>
      <c r="D23" s="25">
        <f>IF('6 กรอกคะแนน'!D11="",0,1)</f>
        <v/>
      </c>
      <c r="E23" s="25">
        <f>IF('6 กรอกคะแนน'!E11="",0,1)</f>
        <v/>
      </c>
      <c r="F23" s="25">
        <f>IF('6 กรอกคะแนน'!F11="",0,1)</f>
        <v/>
      </c>
      <c r="G23" s="25">
        <f>IF('6 กรอกคะแนน'!G11="",0,1)</f>
        <v/>
      </c>
      <c r="H23" s="25">
        <f>IF('6 กรอกคะแนน'!H11="",0,1)</f>
        <v/>
      </c>
    </row>
    <row r="24">
      <c r="A24" s="29" t="n">
        <v>8</v>
      </c>
      <c r="B24" s="50" t="inlineStr">
        <is>
          <t>65010008</t>
        </is>
      </c>
      <c r="C24" s="12" t="inlineStr">
        <is>
          <t>นางสาวศิริพร แก้วมณี</t>
        </is>
      </c>
      <c r="D24" s="29">
        <f>IF('6 กรอกคะแนน'!D12="",0,1)</f>
        <v/>
      </c>
      <c r="E24" s="29">
        <f>IF('6 กรอกคะแนน'!E12="",0,1)</f>
        <v/>
      </c>
      <c r="F24" s="29">
        <f>IF('6 กรอกคะแนน'!F12="",0,1)</f>
        <v/>
      </c>
      <c r="G24" s="29">
        <f>IF('6 กรอกคะแนน'!G12="",0,1)</f>
        <v/>
      </c>
      <c r="H24" s="29">
        <f>IF('6 กรอกคะแนน'!H12="",0,1)</f>
        <v/>
      </c>
    </row>
    <row r="26">
      <c r="A26" s="13" t="inlineStr">
        <is>
          <t>ขั้นที่ 3 — ตารางน้ำหนักที่ดึงมาจากแผ่นที่ 4</t>
        </is>
      </c>
    </row>
    <row r="27" ht="24" customHeight="1">
      <c r="A27" s="54" t="inlineStr"/>
      <c r="B27" s="54" t="inlineStr"/>
      <c r="C27" s="54" t="inlineStr">
        <is>
          <t>CLO</t>
        </is>
      </c>
      <c r="D27" s="54" t="inlineStr">
        <is>
          <t>กิจกรรมที่ 1</t>
        </is>
      </c>
      <c r="E27" s="54" t="inlineStr">
        <is>
          <t>กิจกรรมที่ 2</t>
        </is>
      </c>
      <c r="F27" s="54" t="inlineStr">
        <is>
          <t>กิจกรรมที่ 3</t>
        </is>
      </c>
      <c r="G27" s="54" t="inlineStr">
        <is>
          <t>กิจกรรมที่ 4</t>
        </is>
      </c>
      <c r="H27" s="54" t="inlineStr">
        <is>
          <t>กิจกรรมที่ 5</t>
        </is>
      </c>
    </row>
    <row r="28">
      <c r="C28" s="9" t="inlineStr">
        <is>
          <t>CLO 1</t>
        </is>
      </c>
      <c r="D28" s="25">
        <f>'4 เมทริกซ์ CLO x กิจกรรม'!C5</f>
        <v/>
      </c>
      <c r="E28" s="25">
        <f>'4 เมทริกซ์ CLO x กิจกรรม'!C6</f>
        <v/>
      </c>
      <c r="F28" s="25">
        <f>'4 เมทริกซ์ CLO x กิจกรรม'!C7</f>
        <v/>
      </c>
      <c r="G28" s="25">
        <f>'4 เมทริกซ์ CLO x กิจกรรม'!C8</f>
        <v/>
      </c>
      <c r="H28" s="25">
        <f>'4 เมทริกซ์ CLO x กิจกรรม'!C9</f>
        <v/>
      </c>
    </row>
    <row r="29">
      <c r="C29" s="11" t="inlineStr">
        <is>
          <t>CLO 2</t>
        </is>
      </c>
      <c r="D29" s="29">
        <f>'4 เมทริกซ์ CLO x กิจกรรม'!D5</f>
        <v/>
      </c>
      <c r="E29" s="29">
        <f>'4 เมทริกซ์ CLO x กิจกรรม'!D6</f>
        <v/>
      </c>
      <c r="F29" s="29">
        <f>'4 เมทริกซ์ CLO x กิจกรรม'!D7</f>
        <v/>
      </c>
      <c r="G29" s="29">
        <f>'4 เมทริกซ์ CLO x กิจกรรม'!D8</f>
        <v/>
      </c>
      <c r="H29" s="29">
        <f>'4 เมทริกซ์ CLO x กิจกรรม'!D9</f>
        <v/>
      </c>
    </row>
    <row r="30">
      <c r="C30" s="9" t="inlineStr">
        <is>
          <t>CLO 3</t>
        </is>
      </c>
      <c r="D30" s="25">
        <f>'4 เมทริกซ์ CLO x กิจกรรม'!E5</f>
        <v/>
      </c>
      <c r="E30" s="25">
        <f>'4 เมทริกซ์ CLO x กิจกรรม'!E6</f>
        <v/>
      </c>
      <c r="F30" s="25">
        <f>'4 เมทริกซ์ CLO x กิจกรรม'!E7</f>
        <v/>
      </c>
      <c r="G30" s="25">
        <f>'4 เมทริกซ์ CLO x กิจกรรม'!E8</f>
        <v/>
      </c>
      <c r="H30" s="25">
        <f>'4 เมทริกซ์ CLO x กิจกรรม'!E9</f>
        <v/>
      </c>
    </row>
    <row r="31">
      <c r="C31" s="11" t="inlineStr">
        <is>
          <t>CLO 4</t>
        </is>
      </c>
      <c r="D31" s="29">
        <f>'4 เมทริกซ์ CLO x กิจกรรม'!F5</f>
        <v/>
      </c>
      <c r="E31" s="29">
        <f>'4 เมทริกซ์ CLO x กิจกรรม'!F6</f>
        <v/>
      </c>
      <c r="F31" s="29">
        <f>'4 เมทริกซ์ CLO x กิจกรรม'!F7</f>
        <v/>
      </c>
      <c r="G31" s="29">
        <f>'4 เมทริกซ์ CLO x กิจกรรม'!F8</f>
        <v/>
      </c>
      <c r="H31" s="29">
        <f>'4 เมทริกซ์ CLO x กิจกรรม'!F9</f>
        <v/>
      </c>
    </row>
    <row r="32">
      <c r="C32" s="35" t="inlineStr">
        <is>
          <t>สัดส่วนของกิจกรรมต่อรายวิชา (%)</t>
        </is>
      </c>
      <c r="D32" s="57">
        <f>'3 แผนประเมิน มคอ.3'!$H$5</f>
        <v/>
      </c>
      <c r="E32" s="57">
        <f>'3 แผนประเมิน มคอ.3'!$H$6</f>
        <v/>
      </c>
      <c r="F32" s="57">
        <f>'3 แผนประเมิน มคอ.3'!$H$7</f>
        <v/>
      </c>
      <c r="G32" s="57">
        <f>'3 แผนประเมิน มคอ.3'!$H$8</f>
        <v/>
      </c>
      <c r="H32" s="57">
        <f>'3 แผนประเมิน มคอ.3'!$H$9</f>
        <v/>
      </c>
    </row>
    <row r="33">
      <c r="C33" s="35" t="inlineStr">
        <is>
          <t>เกณฑ์ผ่านของแต่ละ CLO (%)</t>
        </is>
      </c>
      <c r="D33" s="57">
        <f>'2 CLO'!$E$5</f>
        <v/>
      </c>
      <c r="E33" s="57">
        <f>'2 CLO'!$E$6</f>
        <v/>
      </c>
      <c r="F33" s="57">
        <f>'2 CLO'!$E$7</f>
        <v/>
      </c>
      <c r="G33" s="57">
        <f>'2 CLO'!$E$8</f>
        <v/>
      </c>
    </row>
    <row r="35">
      <c r="A35" s="13" t="inlineStr">
        <is>
          <t>ขั้นที่ 4 — ผลรายบุคคล</t>
        </is>
      </c>
    </row>
    <row r="36" ht="34" customHeight="1">
      <c r="A36" s="54" t="inlineStr">
        <is>
          <t>ลำดับ</t>
        </is>
      </c>
      <c r="B36" s="54" t="inlineStr">
        <is>
          <t>รหัสนักศึกษา</t>
        </is>
      </c>
      <c r="C36" s="54" t="inlineStr">
        <is>
          <t>ชื่อ-นามสกุล</t>
        </is>
      </c>
      <c r="D36" s="54" t="inlineStr">
        <is>
          <t>CLO 1 (%)</t>
        </is>
      </c>
      <c r="E36" s="54" t="inlineStr">
        <is>
          <t>CLO 2 (%)</t>
        </is>
      </c>
      <c r="F36" s="54" t="inlineStr">
        <is>
          <t>CLO 3 (%)</t>
        </is>
      </c>
      <c r="G36" s="54" t="inlineStr">
        <is>
          <t>CLO 4 (%)</t>
        </is>
      </c>
      <c r="H36" s="54" t="inlineStr">
        <is>
          <t>คะแนนรวม (%)</t>
        </is>
      </c>
      <c r="I36" s="54" t="inlineStr">
        <is>
          <t>ประเมินแล้วคิดเป็น (%)</t>
        </is>
      </c>
      <c r="J36" s="54" t="inlineStr">
        <is>
          <t>กรอกแล้ว</t>
        </is>
      </c>
      <c r="K36" s="54" t="inlineStr">
        <is>
          <t>สรุปผลรายวิชา</t>
        </is>
      </c>
      <c r="L36" s="54" t="inlineStr">
        <is>
          <t>สถานะการติดตาม</t>
        </is>
      </c>
    </row>
    <row r="37">
      <c r="A37" s="25" t="n">
        <v>1</v>
      </c>
      <c r="B37" s="49" t="inlineStr">
        <is>
          <t>65010001</t>
        </is>
      </c>
      <c r="C37" s="10" t="inlineStr">
        <is>
          <t>นายกิตติพงษ์ แสงทอง</t>
        </is>
      </c>
      <c r="D37" s="58">
        <f>IF(SUMPRODUCT($D$17:$H$17,$D$28:$H$28)=0,"—",SUMPRODUCT($D$6:$H$6,$D$28:$H$28)/SUMPRODUCT($D$17:$H$17,$D$28:$H$28)*100)</f>
        <v/>
      </c>
      <c r="E37" s="58">
        <f>IF(SUMPRODUCT($D$17:$H$17,$D$29:$H$29)=0,"—",SUMPRODUCT($D$6:$H$6,$D$29:$H$29)/SUMPRODUCT($D$17:$H$17,$D$29:$H$29)*100)</f>
        <v/>
      </c>
      <c r="F37" s="58">
        <f>IF(SUMPRODUCT($D$17:$H$17,$D$30:$H$30)=0,"—",SUMPRODUCT($D$6:$H$6,$D$30:$H$30)/SUMPRODUCT($D$17:$H$17,$D$30:$H$30)*100)</f>
        <v/>
      </c>
      <c r="G37" s="58">
        <f>IF(SUMPRODUCT($D$17:$H$17,$D$31:$H$31)=0,"—",SUMPRODUCT($D$6:$H$6,$D$31:$H$31)/SUMPRODUCT($D$17:$H$17,$D$31:$H$31)*100)</f>
        <v/>
      </c>
      <c r="H37" s="59">
        <f>SUMPRODUCT($D$6:$H$6,$D$32:$H$32)</f>
        <v/>
      </c>
      <c r="I37" s="60">
        <f>SUMPRODUCT($D$17:$H$17,$D$32:$H$32)</f>
        <v/>
      </c>
      <c r="J37" s="28">
        <f>COUNT('6 กรอกคะแนน'!D5:H5)&amp;"/5"</f>
        <v/>
      </c>
      <c r="K37" s="40">
        <f>IF(COUNT($D37:$G37)=0,"ยังไม่มีข้อมูล",IF($I37&lt;100,"ยังตัดสินไม่ได้",IF($H37&gt;='1 ข้อมูลรายวิชา'!$C$17,"ผ่าน","ไม่ผ่าน")))</f>
        <v/>
      </c>
      <c r="L37" s="40">
        <f>IF(COUNT($D37:$G37)=0,"ยังประเมินไม่ครบ",IF(SUMPRODUCT(--ISNUMBER($D37:$G37),--($D37:$G37&lt;$D$33:$G$33))&gt;0,"ต้องติดตามเป็นพิเศษ","ปกติ"))</f>
        <v/>
      </c>
    </row>
    <row r="38">
      <c r="A38" s="29" t="n">
        <v>2</v>
      </c>
      <c r="B38" s="50" t="inlineStr">
        <is>
          <t>65010002</t>
        </is>
      </c>
      <c r="C38" s="12" t="inlineStr">
        <is>
          <t>นางสาวจิราพร มีสุข</t>
        </is>
      </c>
      <c r="D38" s="61">
        <f>IF(SUMPRODUCT($D$18:$H$18,$D$28:$H$28)=0,"—",SUMPRODUCT($D$7:$H$7,$D$28:$H$28)/SUMPRODUCT($D$18:$H$18,$D$28:$H$28)*100)</f>
        <v/>
      </c>
      <c r="E38" s="61">
        <f>IF(SUMPRODUCT($D$18:$H$18,$D$29:$H$29)=0,"—",SUMPRODUCT($D$7:$H$7,$D$29:$H$29)/SUMPRODUCT($D$18:$H$18,$D$29:$H$29)*100)</f>
        <v/>
      </c>
      <c r="F38" s="61">
        <f>IF(SUMPRODUCT($D$18:$H$18,$D$30:$H$30)=0,"—",SUMPRODUCT($D$7:$H$7,$D$30:$H$30)/SUMPRODUCT($D$18:$H$18,$D$30:$H$30)*100)</f>
        <v/>
      </c>
      <c r="G38" s="61">
        <f>IF(SUMPRODUCT($D$18:$H$18,$D$31:$H$31)=0,"—",SUMPRODUCT($D$7:$H$7,$D$31:$H$31)/SUMPRODUCT($D$18:$H$18,$D$31:$H$31)*100)</f>
        <v/>
      </c>
      <c r="H38" s="62">
        <f>SUMPRODUCT($D$7:$H$7,$D$32:$H$32)</f>
        <v/>
      </c>
      <c r="I38" s="63">
        <f>SUMPRODUCT($D$18:$H$18,$D$32:$H$32)</f>
        <v/>
      </c>
      <c r="J38" s="30">
        <f>COUNT('6 กรอกคะแนน'!D6:H6)&amp;"/5"</f>
        <v/>
      </c>
      <c r="K38" s="42">
        <f>IF(COUNT($D38:$G38)=0,"ยังไม่มีข้อมูล",IF($I38&lt;100,"ยังตัดสินไม่ได้",IF($H38&gt;='1 ข้อมูลรายวิชา'!$C$17,"ผ่าน","ไม่ผ่าน")))</f>
        <v/>
      </c>
      <c r="L38" s="42">
        <f>IF(COUNT($D38:$G38)=0,"ยังประเมินไม่ครบ",IF(SUMPRODUCT(--ISNUMBER($D38:$G38),--($D38:$G38&lt;$D$33:$G$33))&gt;0,"ต้องติดตามเป็นพิเศษ","ปกติ"))</f>
        <v/>
      </c>
    </row>
    <row r="39">
      <c r="A39" s="25" t="n">
        <v>3</v>
      </c>
      <c r="B39" s="49" t="inlineStr">
        <is>
          <t>65010003</t>
        </is>
      </c>
      <c r="C39" s="10" t="inlineStr">
        <is>
          <t>นายธนกร ศรีสุข</t>
        </is>
      </c>
      <c r="D39" s="58">
        <f>IF(SUMPRODUCT($D$19:$H$19,$D$28:$H$28)=0,"—",SUMPRODUCT($D$8:$H$8,$D$28:$H$28)/SUMPRODUCT($D$19:$H$19,$D$28:$H$28)*100)</f>
        <v/>
      </c>
      <c r="E39" s="58">
        <f>IF(SUMPRODUCT($D$19:$H$19,$D$29:$H$29)=0,"—",SUMPRODUCT($D$8:$H$8,$D$29:$H$29)/SUMPRODUCT($D$19:$H$19,$D$29:$H$29)*100)</f>
        <v/>
      </c>
      <c r="F39" s="58">
        <f>IF(SUMPRODUCT($D$19:$H$19,$D$30:$H$30)=0,"—",SUMPRODUCT($D$8:$H$8,$D$30:$H$30)/SUMPRODUCT($D$19:$H$19,$D$30:$H$30)*100)</f>
        <v/>
      </c>
      <c r="G39" s="58">
        <f>IF(SUMPRODUCT($D$19:$H$19,$D$31:$H$31)=0,"—",SUMPRODUCT($D$8:$H$8,$D$31:$H$31)/SUMPRODUCT($D$19:$H$19,$D$31:$H$31)*100)</f>
        <v/>
      </c>
      <c r="H39" s="59">
        <f>SUMPRODUCT($D$8:$H$8,$D$32:$H$32)</f>
        <v/>
      </c>
      <c r="I39" s="60">
        <f>SUMPRODUCT($D$19:$H$19,$D$32:$H$32)</f>
        <v/>
      </c>
      <c r="J39" s="28">
        <f>COUNT('6 กรอกคะแนน'!D7:H7)&amp;"/5"</f>
        <v/>
      </c>
      <c r="K39" s="40">
        <f>IF(COUNT($D39:$G39)=0,"ยังไม่มีข้อมูล",IF($I39&lt;100,"ยังตัดสินไม่ได้",IF($H39&gt;='1 ข้อมูลรายวิชา'!$C$17,"ผ่าน","ไม่ผ่าน")))</f>
        <v/>
      </c>
      <c r="L39" s="40">
        <f>IF(COUNT($D39:$G39)=0,"ยังประเมินไม่ครบ",IF(SUMPRODUCT(--ISNUMBER($D39:$G39),--($D39:$G39&lt;$D$33:$G$33))&gt;0,"ต้องติดตามเป็นพิเศษ","ปกติ"))</f>
        <v/>
      </c>
    </row>
    <row r="40">
      <c r="A40" s="29" t="n">
        <v>4</v>
      </c>
      <c r="B40" s="50" t="inlineStr">
        <is>
          <t>65010004</t>
        </is>
      </c>
      <c r="C40" s="12" t="inlineStr">
        <is>
          <t>นางสาวปาริชาติ วงศ์ดี</t>
        </is>
      </c>
      <c r="D40" s="61">
        <f>IF(SUMPRODUCT($D$20:$H$20,$D$28:$H$28)=0,"—",SUMPRODUCT($D$9:$H$9,$D$28:$H$28)/SUMPRODUCT($D$20:$H$20,$D$28:$H$28)*100)</f>
        <v/>
      </c>
      <c r="E40" s="61">
        <f>IF(SUMPRODUCT($D$20:$H$20,$D$29:$H$29)=0,"—",SUMPRODUCT($D$9:$H$9,$D$29:$H$29)/SUMPRODUCT($D$20:$H$20,$D$29:$H$29)*100)</f>
        <v/>
      </c>
      <c r="F40" s="61">
        <f>IF(SUMPRODUCT($D$20:$H$20,$D$30:$H$30)=0,"—",SUMPRODUCT($D$9:$H$9,$D$30:$H$30)/SUMPRODUCT($D$20:$H$20,$D$30:$H$30)*100)</f>
        <v/>
      </c>
      <c r="G40" s="61">
        <f>IF(SUMPRODUCT($D$20:$H$20,$D$31:$H$31)=0,"—",SUMPRODUCT($D$9:$H$9,$D$31:$H$31)/SUMPRODUCT($D$20:$H$20,$D$31:$H$31)*100)</f>
        <v/>
      </c>
      <c r="H40" s="62">
        <f>SUMPRODUCT($D$9:$H$9,$D$32:$H$32)</f>
        <v/>
      </c>
      <c r="I40" s="63">
        <f>SUMPRODUCT($D$20:$H$20,$D$32:$H$32)</f>
        <v/>
      </c>
      <c r="J40" s="30">
        <f>COUNT('6 กรอกคะแนน'!D8:H8)&amp;"/5"</f>
        <v/>
      </c>
      <c r="K40" s="42">
        <f>IF(COUNT($D40:$G40)=0,"ยังไม่มีข้อมูล",IF($I40&lt;100,"ยังตัดสินไม่ได้",IF($H40&gt;='1 ข้อมูลรายวิชา'!$C$17,"ผ่าน","ไม่ผ่าน")))</f>
        <v/>
      </c>
      <c r="L40" s="42">
        <f>IF(COUNT($D40:$G40)=0,"ยังประเมินไม่ครบ",IF(SUMPRODUCT(--ISNUMBER($D40:$G40),--($D40:$G40&lt;$D$33:$G$33))&gt;0,"ต้องติดตามเป็นพิเศษ","ปกติ"))</f>
        <v/>
      </c>
    </row>
    <row r="41">
      <c r="A41" s="25" t="n">
        <v>5</v>
      </c>
      <c r="B41" s="49" t="inlineStr">
        <is>
          <t>65010005</t>
        </is>
      </c>
      <c r="C41" s="10" t="inlineStr">
        <is>
          <t>นายภานุวัฒน์ ทองสุข</t>
        </is>
      </c>
      <c r="D41" s="58">
        <f>IF(SUMPRODUCT($D$21:$H$21,$D$28:$H$28)=0,"—",SUMPRODUCT($D$10:$H$10,$D$28:$H$28)/SUMPRODUCT($D$21:$H$21,$D$28:$H$28)*100)</f>
        <v/>
      </c>
      <c r="E41" s="58">
        <f>IF(SUMPRODUCT($D$21:$H$21,$D$29:$H$29)=0,"—",SUMPRODUCT($D$10:$H$10,$D$29:$H$29)/SUMPRODUCT($D$21:$H$21,$D$29:$H$29)*100)</f>
        <v/>
      </c>
      <c r="F41" s="58">
        <f>IF(SUMPRODUCT($D$21:$H$21,$D$30:$H$30)=0,"—",SUMPRODUCT($D$10:$H$10,$D$30:$H$30)/SUMPRODUCT($D$21:$H$21,$D$30:$H$30)*100)</f>
        <v/>
      </c>
      <c r="G41" s="58">
        <f>IF(SUMPRODUCT($D$21:$H$21,$D$31:$H$31)=0,"—",SUMPRODUCT($D$10:$H$10,$D$31:$H$31)/SUMPRODUCT($D$21:$H$21,$D$31:$H$31)*100)</f>
        <v/>
      </c>
      <c r="H41" s="59">
        <f>SUMPRODUCT($D$10:$H$10,$D$32:$H$32)</f>
        <v/>
      </c>
      <c r="I41" s="60">
        <f>SUMPRODUCT($D$21:$H$21,$D$32:$H$32)</f>
        <v/>
      </c>
      <c r="J41" s="28">
        <f>COUNT('6 กรอกคะแนน'!D9:H9)&amp;"/5"</f>
        <v/>
      </c>
      <c r="K41" s="40">
        <f>IF(COUNT($D41:$G41)=0,"ยังไม่มีข้อมูล",IF($I41&lt;100,"ยังตัดสินไม่ได้",IF($H41&gt;='1 ข้อมูลรายวิชา'!$C$17,"ผ่าน","ไม่ผ่าน")))</f>
        <v/>
      </c>
      <c r="L41" s="40">
        <f>IF(COUNT($D41:$G41)=0,"ยังประเมินไม่ครบ",IF(SUMPRODUCT(--ISNUMBER($D41:$G41),--($D41:$G41&lt;$D$33:$G$33))&gt;0,"ต้องติดตามเป็นพิเศษ","ปกติ"))</f>
        <v/>
      </c>
    </row>
    <row r="42">
      <c r="A42" s="29" t="n">
        <v>6</v>
      </c>
      <c r="B42" s="50" t="inlineStr">
        <is>
          <t>65010006</t>
        </is>
      </c>
      <c r="C42" s="12" t="inlineStr">
        <is>
          <t>นางสาวรัตนาภรณ์ ใจงาม</t>
        </is>
      </c>
      <c r="D42" s="61">
        <f>IF(SUMPRODUCT($D$22:$H$22,$D$28:$H$28)=0,"—",SUMPRODUCT($D$11:$H$11,$D$28:$H$28)/SUMPRODUCT($D$22:$H$22,$D$28:$H$28)*100)</f>
        <v/>
      </c>
      <c r="E42" s="61">
        <f>IF(SUMPRODUCT($D$22:$H$22,$D$29:$H$29)=0,"—",SUMPRODUCT($D$11:$H$11,$D$29:$H$29)/SUMPRODUCT($D$22:$H$22,$D$29:$H$29)*100)</f>
        <v/>
      </c>
      <c r="F42" s="61">
        <f>IF(SUMPRODUCT($D$22:$H$22,$D$30:$H$30)=0,"—",SUMPRODUCT($D$11:$H$11,$D$30:$H$30)/SUMPRODUCT($D$22:$H$22,$D$30:$H$30)*100)</f>
        <v/>
      </c>
      <c r="G42" s="61">
        <f>IF(SUMPRODUCT($D$22:$H$22,$D$31:$H$31)=0,"—",SUMPRODUCT($D$11:$H$11,$D$31:$H$31)/SUMPRODUCT($D$22:$H$22,$D$31:$H$31)*100)</f>
        <v/>
      </c>
      <c r="H42" s="62">
        <f>SUMPRODUCT($D$11:$H$11,$D$32:$H$32)</f>
        <v/>
      </c>
      <c r="I42" s="63">
        <f>SUMPRODUCT($D$22:$H$22,$D$32:$H$32)</f>
        <v/>
      </c>
      <c r="J42" s="30">
        <f>COUNT('6 กรอกคะแนน'!D10:H10)&amp;"/5"</f>
        <v/>
      </c>
      <c r="K42" s="42">
        <f>IF(COUNT($D42:$G42)=0,"ยังไม่มีข้อมูล",IF($I42&lt;100,"ยังตัดสินไม่ได้",IF($H42&gt;='1 ข้อมูลรายวิชา'!$C$17,"ผ่าน","ไม่ผ่าน")))</f>
        <v/>
      </c>
      <c r="L42" s="42">
        <f>IF(COUNT($D42:$G42)=0,"ยังประเมินไม่ครบ",IF(SUMPRODUCT(--ISNUMBER($D42:$G42),--($D42:$G42&lt;$D$33:$G$33))&gt;0,"ต้องติดตามเป็นพิเศษ","ปกติ"))</f>
        <v/>
      </c>
    </row>
    <row r="43">
      <c r="A43" s="25" t="n">
        <v>7</v>
      </c>
      <c r="B43" s="49" t="inlineStr">
        <is>
          <t>65010007</t>
        </is>
      </c>
      <c r="C43" s="10" t="inlineStr">
        <is>
          <t>นายวรวุฒิ ชัยมงคล</t>
        </is>
      </c>
      <c r="D43" s="58">
        <f>IF(SUMPRODUCT($D$23:$H$23,$D$28:$H$28)=0,"—",SUMPRODUCT($D$12:$H$12,$D$28:$H$28)/SUMPRODUCT($D$23:$H$23,$D$28:$H$28)*100)</f>
        <v/>
      </c>
      <c r="E43" s="58">
        <f>IF(SUMPRODUCT($D$23:$H$23,$D$29:$H$29)=0,"—",SUMPRODUCT($D$12:$H$12,$D$29:$H$29)/SUMPRODUCT($D$23:$H$23,$D$29:$H$29)*100)</f>
        <v/>
      </c>
      <c r="F43" s="58">
        <f>IF(SUMPRODUCT($D$23:$H$23,$D$30:$H$30)=0,"—",SUMPRODUCT($D$12:$H$12,$D$30:$H$30)/SUMPRODUCT($D$23:$H$23,$D$30:$H$30)*100)</f>
        <v/>
      </c>
      <c r="G43" s="58">
        <f>IF(SUMPRODUCT($D$23:$H$23,$D$31:$H$31)=0,"—",SUMPRODUCT($D$12:$H$12,$D$31:$H$31)/SUMPRODUCT($D$23:$H$23,$D$31:$H$31)*100)</f>
        <v/>
      </c>
      <c r="H43" s="59">
        <f>SUMPRODUCT($D$12:$H$12,$D$32:$H$32)</f>
        <v/>
      </c>
      <c r="I43" s="60">
        <f>SUMPRODUCT($D$23:$H$23,$D$32:$H$32)</f>
        <v/>
      </c>
      <c r="J43" s="28">
        <f>COUNT('6 กรอกคะแนน'!D11:H11)&amp;"/5"</f>
        <v/>
      </c>
      <c r="K43" s="40">
        <f>IF(COUNT($D43:$G43)=0,"ยังไม่มีข้อมูล",IF($I43&lt;100,"ยังตัดสินไม่ได้",IF($H43&gt;='1 ข้อมูลรายวิชา'!$C$17,"ผ่าน","ไม่ผ่าน")))</f>
        <v/>
      </c>
      <c r="L43" s="40">
        <f>IF(COUNT($D43:$G43)=0,"ยังประเมินไม่ครบ",IF(SUMPRODUCT(--ISNUMBER($D43:$G43),--($D43:$G43&lt;$D$33:$G$33))&gt;0,"ต้องติดตามเป็นพิเศษ","ปกติ"))</f>
        <v/>
      </c>
    </row>
    <row r="44">
      <c r="A44" s="29" t="n">
        <v>8</v>
      </c>
      <c r="B44" s="50" t="inlineStr">
        <is>
          <t>65010008</t>
        </is>
      </c>
      <c r="C44" s="12" t="inlineStr">
        <is>
          <t>นางสาวศิริพร แก้วมณี</t>
        </is>
      </c>
      <c r="D44" s="61">
        <f>IF(SUMPRODUCT($D$24:$H$24,$D$28:$H$28)=0,"—",SUMPRODUCT($D$13:$H$13,$D$28:$H$28)/SUMPRODUCT($D$24:$H$24,$D$28:$H$28)*100)</f>
        <v/>
      </c>
      <c r="E44" s="61">
        <f>IF(SUMPRODUCT($D$24:$H$24,$D$29:$H$29)=0,"—",SUMPRODUCT($D$13:$H$13,$D$29:$H$29)/SUMPRODUCT($D$24:$H$24,$D$29:$H$29)*100)</f>
        <v/>
      </c>
      <c r="F44" s="61">
        <f>IF(SUMPRODUCT($D$24:$H$24,$D$30:$H$30)=0,"—",SUMPRODUCT($D$13:$H$13,$D$30:$H$30)/SUMPRODUCT($D$24:$H$24,$D$30:$H$30)*100)</f>
        <v/>
      </c>
      <c r="G44" s="61">
        <f>IF(SUMPRODUCT($D$24:$H$24,$D$31:$H$31)=0,"—",SUMPRODUCT($D$13:$H$13,$D$31:$H$31)/SUMPRODUCT($D$24:$H$24,$D$31:$H$31)*100)</f>
        <v/>
      </c>
      <c r="H44" s="62">
        <f>SUMPRODUCT($D$13:$H$13,$D$32:$H$32)</f>
        <v/>
      </c>
      <c r="I44" s="63">
        <f>SUMPRODUCT($D$24:$H$24,$D$32:$H$32)</f>
        <v/>
      </c>
      <c r="J44" s="30">
        <f>COUNT('6 กรอกคะแนน'!D12:H12)&amp;"/5"</f>
        <v/>
      </c>
      <c r="K44" s="42">
        <f>IF(COUNT($D44:$G44)=0,"ยังไม่มีข้อมูล",IF($I44&lt;100,"ยังตัดสินไม่ได้",IF($H44&gt;='1 ข้อมูลรายวิชา'!$C$17,"ผ่าน","ไม่ผ่าน")))</f>
        <v/>
      </c>
      <c r="L44" s="42">
        <f>IF(COUNT($D44:$G44)=0,"ยังประเมินไม่ครบ",IF(SUMPRODUCT(--ISNUMBER($D44:$G44),--($D44:$G44&lt;$D$33:$G$33))&gt;0,"ต้องติดตามเป็นพิเศษ","ปกติ"))</f>
        <v/>
      </c>
    </row>
    <row r="46" ht="30" customHeight="1">
      <c r="A46" s="52" t="inlineStr">
        <is>
          <t>คอลัมน์ 'ประเมินแล้วคิดเป็น (%)' บอกว่าตอนนี้ประเมินไปแล้วกี่เปอร์เซ็นต์ของคะแนนเต็มทั้งรายวิชา ถ้ายังไม่ถึง 100 แปลว่ายังสรุปผ่าน/ไม่ผ่านไม่ได้ เพราะคะแนนรวมยังไม่ครบ — แต่ผลการบรรลุ CLO รายข้อดูได้ทันทีระหว่างภาคเรียน ซึ่งเป็นประโยชน์หลักของระบบนี้</t>
        </is>
      </c>
    </row>
  </sheetData>
  <mergeCells count="1">
    <mergeCell ref="A46:I4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26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30" customWidth="1" min="9" max="9"/>
  </cols>
  <sheetData>
    <row r="1">
      <c r="A1" s="53" t="inlineStr">
        <is>
          <t>8 · การตัดเกรด — อิงเกณฑ์ และ อิงกลุ่ม</t>
        </is>
      </c>
    </row>
    <row r="2">
      <c r="A2" s="16" t="inlineStr">
        <is>
          <t>คะแนนชุดเดียวกัน ตัดสองวิธี ได้ผลต่างกัน — แผ่นนี้แสดงให้เห็นว่าทำไมระบบต้องเก็บว่า ตัดด้วยวิธีใดและด้วยค่าสถิติชุดใด ไม่ใช่เก็บแค่ตัวอักษรเกรด</t>
        </is>
      </c>
    </row>
    <row r="4">
      <c r="B4" s="13" t="inlineStr">
        <is>
          <t>กลุ่มที่นำมาคิด (ประชากรของการตัดเกรด)</t>
        </is>
      </c>
    </row>
    <row r="5" ht="24" customHeight="1">
      <c r="B5" s="54" t="inlineStr">
        <is>
          <t>รายการ</t>
        </is>
      </c>
      <c r="C5" s="54" t="inlineStr">
        <is>
          <t>ค่า</t>
        </is>
      </c>
      <c r="D5" s="54" t="inlineStr">
        <is>
          <t>ที่มา</t>
        </is>
      </c>
    </row>
    <row r="6">
      <c r="B6" s="9" t="inlineStr">
        <is>
          <t>จำนวนที่นำมาคิด (n)</t>
        </is>
      </c>
      <c r="C6" s="64" t="n">
        <v>6</v>
      </c>
      <c r="D6" s="32" t="inlineStr">
        <is>
          <t>เฉพาะผู้ที่ประเมินครบทุกกิจกรรม จากทั้งหมด 8 คน</t>
        </is>
      </c>
      <c r="E6" s="23" t="n"/>
      <c r="F6" s="23" t="n"/>
      <c r="G6" s="23" t="n"/>
      <c r="H6" s="23" t="n"/>
      <c r="I6" s="24" t="n"/>
    </row>
    <row r="7">
      <c r="B7" s="11" t="inlineStr">
        <is>
          <t>คะแนนเฉลี่ย (mean)</t>
        </is>
      </c>
      <c r="C7" s="64" t="n">
        <v>65.75</v>
      </c>
      <c r="D7" s="34" t="inlineStr">
        <is>
          <t>คำนวณจากคะแนนรวมถ่วงน้ำหนักของ n คนนี้</t>
        </is>
      </c>
      <c r="E7" s="23" t="n"/>
      <c r="F7" s="23" t="n"/>
      <c r="G7" s="23" t="n"/>
      <c r="H7" s="23" t="n"/>
      <c r="I7" s="24" t="n"/>
    </row>
    <row r="8">
      <c r="B8" s="9" t="inlineStr">
        <is>
          <t>ส่วนเบี่ยงเบนมาตรฐาน (SD)</t>
        </is>
      </c>
      <c r="C8" s="64" t="n">
        <v>20.75</v>
      </c>
      <c r="D8" s="32" t="inlineStr">
        <is>
          <t>ถ้าเป็น 0 ระบบจะไม่ยอมให้ตัดอิงกลุ่ม เพราะสูตรต้องหารด้วยค่านี้</t>
        </is>
      </c>
      <c r="E8" s="23" t="n"/>
      <c r="F8" s="23" t="n"/>
      <c r="G8" s="23" t="n"/>
      <c r="H8" s="23" t="n"/>
      <c r="I8" s="24" t="n"/>
    </row>
    <row r="9">
      <c r="B9" s="11" t="inlineStr">
        <is>
          <t>คะแนนต่ำสุด / สูงสุด</t>
        </is>
      </c>
      <c r="C9" s="64" t="inlineStr">
        <is>
          <t>37.15 / 94.05</t>
        </is>
      </c>
      <c r="D9" s="34" t="inlineStr">
        <is>
          <t>แสดงประกอบเท่านั้น ไม่มีคอลัมน์เก็บ — หาได้จากคะแนนรวมของ n คนนี้เมื่อไรก็ได้ และไม่มีสูตรใดใช้</t>
        </is>
      </c>
      <c r="E9" s="23" t="n"/>
      <c r="F9" s="23" t="n"/>
      <c r="G9" s="23" t="n"/>
      <c r="H9" s="23" t="n"/>
      <c r="I9" s="24" t="n"/>
    </row>
    <row r="11" ht="30" customHeight="1">
      <c r="B11" s="38" t="inlineStr">
        <is>
          <t>ไม่นำมาคิด: นางสาวรัตนาภรณ์ ใจงาม — ยังประเมินไม่ครบ (1 กิจกรรม)  ·  คนที่ยังประเมินไม่ครบต้องไม่ถูกนับใน mean และ SD เพราะคะแนนที่ยังไม่ครบจะดึงค่าเฉลี่ยของทั้งห้องให้ต่ำลงและดันเกรดคนอื่นขึ้นทั้งกลุ่ม</t>
        </is>
      </c>
    </row>
    <row r="12" ht="30" customHeight="1">
      <c r="B12" s="38" t="inlineStr">
        <is>
          <t>ไม่นำมาคิด: นางสาวศิริพร แก้วมณี — ยังประเมินไม่ครบ (5 กิจกรรม)  ·  คนที่ยังประเมินไม่ครบต้องไม่ถูกนับใน mean และ SD เพราะคะแนนที่ยังไม่ครบจะดึงค่าเฉลี่ยของทั้งห้องให้ต่ำลงและดันเกรดคนอื่นขึ้นทั้งกลุ่ม</t>
        </is>
      </c>
    </row>
    <row r="14">
      <c r="B14" s="13" t="inlineStr">
        <is>
          <t>ผลการตัดเกรดทั้งสองวิธี บนคะแนนชุดเดียวกัน</t>
        </is>
      </c>
    </row>
    <row r="15" ht="34" customHeight="1">
      <c r="B15" s="54" t="inlineStr">
        <is>
          <t>รหัสนักศึกษา</t>
        </is>
      </c>
      <c r="C15" s="54" t="inlineStr">
        <is>
          <t>ชื่อ-นามสกุล</t>
        </is>
      </c>
      <c r="D15" s="54" t="inlineStr">
        <is>
          <t>คะแนนรวม (%)</t>
        </is>
      </c>
      <c r="E15" s="54" t="inlineStr">
        <is>
          <t>เกรด
อิงเกณฑ์</t>
        </is>
      </c>
      <c r="F15" s="54" t="inlineStr">
        <is>
          <t>T-score</t>
        </is>
      </c>
      <c r="G15" s="54" t="inlineStr">
        <is>
          <t>เกรด
อิงกลุ่ม</t>
        </is>
      </c>
      <c r="H15" s="54" t="inlineStr">
        <is>
          <t>ต่างกัน?</t>
        </is>
      </c>
      <c r="I15" s="54" t="inlineStr">
        <is>
          <t>หมายเหตุ</t>
        </is>
      </c>
    </row>
    <row r="16">
      <c r="B16" s="65" t="inlineStr">
        <is>
          <t>65010001</t>
        </is>
      </c>
      <c r="C16" s="10" t="inlineStr">
        <is>
          <t>นายกิตติพงษ์ แสงทอง</t>
        </is>
      </c>
      <c r="D16" s="58" t="n">
        <v>86.8</v>
      </c>
      <c r="E16" s="66" t="inlineStr">
        <is>
          <t>A</t>
        </is>
      </c>
      <c r="F16" s="58" t="n">
        <v>60.14</v>
      </c>
      <c r="G16" s="64" t="inlineStr">
        <is>
          <t>B+</t>
        </is>
      </c>
      <c r="H16" s="67" t="inlineStr">
        <is>
          <t>ต่าง</t>
        </is>
      </c>
      <c r="I16" s="32" t="inlineStr">
        <is>
          <t>A → B+</t>
        </is>
      </c>
    </row>
    <row r="17">
      <c r="B17" s="68" t="inlineStr">
        <is>
          <t>65010002</t>
        </is>
      </c>
      <c r="C17" s="12" t="inlineStr">
        <is>
          <t>นางสาวจิราพร มีสุข</t>
        </is>
      </c>
      <c r="D17" s="61" t="n">
        <v>72.65000000000001</v>
      </c>
      <c r="E17" s="66" t="inlineStr">
        <is>
          <t>B</t>
        </is>
      </c>
      <c r="F17" s="61" t="n">
        <v>53.33</v>
      </c>
      <c r="G17" s="64" t="inlineStr">
        <is>
          <t>C+</t>
        </is>
      </c>
      <c r="H17" s="67" t="inlineStr">
        <is>
          <t>ต่าง</t>
        </is>
      </c>
      <c r="I17" s="34" t="inlineStr">
        <is>
          <t>B → C+</t>
        </is>
      </c>
    </row>
    <row r="18">
      <c r="B18" s="65" t="inlineStr">
        <is>
          <t>65010003</t>
        </is>
      </c>
      <c r="C18" s="10" t="inlineStr">
        <is>
          <t>นายธนกร ศรีสุข</t>
        </is>
      </c>
      <c r="D18" s="58" t="n">
        <v>58.7</v>
      </c>
      <c r="E18" s="66" t="inlineStr">
        <is>
          <t>D+</t>
        </is>
      </c>
      <c r="F18" s="58" t="n">
        <v>46.6</v>
      </c>
      <c r="G18" s="64" t="inlineStr">
        <is>
          <t>C</t>
        </is>
      </c>
      <c r="H18" s="67" t="inlineStr">
        <is>
          <t>ต่าง</t>
        </is>
      </c>
      <c r="I18" s="32" t="inlineStr">
        <is>
          <t>D+ → C</t>
        </is>
      </c>
    </row>
    <row r="19">
      <c r="B19" s="68" t="inlineStr">
        <is>
          <t>65010004</t>
        </is>
      </c>
      <c r="C19" s="12" t="inlineStr">
        <is>
          <t>นางสาวปาริชาติ วงศ์ดี</t>
        </is>
      </c>
      <c r="D19" s="61" t="n">
        <v>45.15</v>
      </c>
      <c r="E19" s="66" t="inlineStr">
        <is>
          <t>F</t>
        </is>
      </c>
      <c r="F19" s="61" t="n">
        <v>40.07</v>
      </c>
      <c r="G19" s="64" t="inlineStr">
        <is>
          <t>D+</t>
        </is>
      </c>
      <c r="H19" s="67" t="inlineStr">
        <is>
          <t>ต่าง</t>
        </is>
      </c>
      <c r="I19" s="34" t="inlineStr">
        <is>
          <t>F → D+</t>
        </is>
      </c>
    </row>
    <row r="20">
      <c r="B20" s="65" t="inlineStr">
        <is>
          <t>65010005</t>
        </is>
      </c>
      <c r="C20" s="10" t="inlineStr">
        <is>
          <t>นายภานุวัฒน์ ทองสุข</t>
        </is>
      </c>
      <c r="D20" s="58" t="n">
        <v>94.05</v>
      </c>
      <c r="E20" s="66" t="inlineStr">
        <is>
          <t>A</t>
        </is>
      </c>
      <c r="F20" s="58" t="n">
        <v>63.64</v>
      </c>
      <c r="G20" s="64" t="inlineStr">
        <is>
          <t>B+</t>
        </is>
      </c>
      <c r="H20" s="67" t="inlineStr">
        <is>
          <t>ต่าง</t>
        </is>
      </c>
      <c r="I20" s="32" t="inlineStr">
        <is>
          <t>A → B+</t>
        </is>
      </c>
    </row>
    <row r="21">
      <c r="B21" s="68" t="inlineStr">
        <is>
          <t>65010007</t>
        </is>
      </c>
      <c r="C21" s="12" t="inlineStr">
        <is>
          <t>นายวรวุฒิ ชัยมงคล</t>
        </is>
      </c>
      <c r="D21" s="61" t="n">
        <v>37.15</v>
      </c>
      <c r="E21" s="66" t="inlineStr">
        <is>
          <t>F</t>
        </is>
      </c>
      <c r="F21" s="61" t="n">
        <v>36.22</v>
      </c>
      <c r="G21" s="64" t="inlineStr">
        <is>
          <t>D</t>
        </is>
      </c>
      <c r="H21" s="67" t="inlineStr">
        <is>
          <t>ต่าง</t>
        </is>
      </c>
      <c r="I21" s="34" t="inlineStr">
        <is>
          <t>F → D</t>
        </is>
      </c>
    </row>
    <row r="23" ht="30" customHeight="1">
      <c r="B23" s="14" t="inlineStr">
        <is>
          <t>อิงเกณฑ์:  A = 2  ·  B = 1  ·  D+ = 1  ·  F = 2</t>
        </is>
      </c>
    </row>
    <row r="24" ht="30" customHeight="1">
      <c r="B24" s="14" t="inlineStr">
        <is>
          <t>อิงกลุ่ม:  B+ = 2  ·  C+ = 1  ·  C = 1  ·  D+ = 1  ·  D = 1</t>
        </is>
      </c>
    </row>
    <row r="26" ht="30" customHeight="1">
      <c r="B26" s="14" t="inlineStr">
        <is>
          <t>นักศึกษา 6 คนจาก 6 คน ได้เกรดไม่เท่ากันระหว่างสองวิธี ทั้งที่คะแนนดิบชุดเดียวกัน  ·  อิงเกณฑ์ตัดสินจากคะแนนของตัวเองล้วน ๆ ส่วนอิงกลุ่มตัดสินจากตำแหน่งเทียบกับเพื่อนร่วมห้อง คนที่ได้ 45 คะแนนจึงตกเมื่อใช้อิงเกณฑ์ แต่ไม่ตกเมื่อใช้อิงกลุ่ม เพราะทั้งห้องคะแนนไม่สูง</t>
        </is>
      </c>
    </row>
    <row r="27" ht="30" customHeight="1">
      <c r="B27" s="38" t="inlineStr">
        <is>
          <t>เพราะเกรดอิงกลุ่มขึ้นกับ 'ใครอยู่ในห้องวันที่ตัด' ระบบจึงตรึงค่า n / mean / SD ไว้กับผลการตัดเกรด แต่ละรอบ  ·  ถ้าไม่ตรึง นักศึกษาถอนรายวิชาเพียงคนเดียวจะทำให้ค่าเฉลี่ยขยับ และเกรดของ ทุกคนเปลี่ยนตามโดยไม่มีใครแก้คะแนนสักตัว  ·  เกรดที่ประกาศแล้วจะแก้ไม่ได้ ต้องตัดรอบใหม่แทน</t>
        </is>
      </c>
    </row>
    <row r="29">
      <c r="B29" s="13" t="inlineStr">
        <is>
          <t>เกณฑ์ที่ใช้ตัด</t>
        </is>
      </c>
    </row>
    <row r="30" ht="24" customHeight="1">
      <c r="B30" s="54" t="inlineStr">
        <is>
          <t>เกรด</t>
        </is>
      </c>
      <c r="C30" s="54" t="inlineStr">
        <is>
          <t>อิงเกณฑ์ — คะแนนรวมขั้นต่ำ (%)</t>
        </is>
      </c>
      <c r="D30" s="54" t="inlineStr">
        <is>
          <t>อิงกลุ่ม — T-score ขั้นต่ำ</t>
        </is>
      </c>
    </row>
    <row r="31">
      <c r="B31" s="40" t="inlineStr">
        <is>
          <t>A</t>
        </is>
      </c>
      <c r="C31" s="57" t="n">
        <v>80</v>
      </c>
      <c r="D31" s="69" t="n">
        <v>65</v>
      </c>
    </row>
    <row r="32">
      <c r="B32" s="42" t="inlineStr">
        <is>
          <t>B+</t>
        </is>
      </c>
      <c r="C32" s="57" t="n">
        <v>75</v>
      </c>
      <c r="D32" s="69" t="n">
        <v>60</v>
      </c>
    </row>
    <row r="33">
      <c r="B33" s="40" t="inlineStr">
        <is>
          <t>B</t>
        </is>
      </c>
      <c r="C33" s="57" t="n">
        <v>70</v>
      </c>
      <c r="D33" s="69" t="n">
        <v>55</v>
      </c>
    </row>
    <row r="34">
      <c r="B34" s="42" t="inlineStr">
        <is>
          <t>C+</t>
        </is>
      </c>
      <c r="C34" s="57" t="n">
        <v>65</v>
      </c>
      <c r="D34" s="69" t="n">
        <v>50</v>
      </c>
    </row>
    <row r="35">
      <c r="B35" s="40" t="inlineStr">
        <is>
          <t>C</t>
        </is>
      </c>
      <c r="C35" s="57" t="n">
        <v>60</v>
      </c>
      <c r="D35" s="69" t="n">
        <v>45</v>
      </c>
    </row>
    <row r="36">
      <c r="B36" s="42" t="inlineStr">
        <is>
          <t>D+</t>
        </is>
      </c>
      <c r="C36" s="57" t="n">
        <v>55</v>
      </c>
      <c r="D36" s="69" t="n">
        <v>40</v>
      </c>
    </row>
    <row r="37">
      <c r="B37" s="40" t="inlineStr">
        <is>
          <t>D</t>
        </is>
      </c>
      <c r="C37" s="57" t="n">
        <v>50</v>
      </c>
      <c r="D37" s="69" t="n">
        <v>35</v>
      </c>
    </row>
    <row r="38">
      <c r="B38" s="42" t="inlineStr">
        <is>
          <t>F</t>
        </is>
      </c>
      <c r="C38" s="57" t="n">
        <v>0</v>
      </c>
      <c r="D38" s="69" t="n">
        <v>0</v>
      </c>
    </row>
    <row r="40" ht="30" customHeight="1">
      <c r="B40" s="14" t="inlineStr">
        <is>
          <t>T-score 50 คือค่าเฉลี่ยของห้องพอดี ทุก 10 หน่วยคือ 1 ส่วนเบี่ยงเบนมาตรฐาน  ·  สูตร T = 50 + 10 × (คะแนนของนักศึกษา − ค่าเฉลี่ย) ÷ ส่วนเบี่ยงเบนมาตรฐาน</t>
        </is>
      </c>
    </row>
  </sheetData>
  <mergeCells count="11">
    <mergeCell ref="B11:J11"/>
    <mergeCell ref="B24:J24"/>
    <mergeCell ref="D9:I9"/>
    <mergeCell ref="B23:J23"/>
    <mergeCell ref="B26:J26"/>
    <mergeCell ref="B27:J27"/>
    <mergeCell ref="B40:J40"/>
    <mergeCell ref="D6:I6"/>
    <mergeCell ref="B12:J12"/>
    <mergeCell ref="D7:I7"/>
    <mergeCell ref="D8:I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5" customWidth="1" min="4" max="4"/>
    <col width="15" customWidth="1" min="5" max="5"/>
    <col width="16" customWidth="1" min="6" max="6"/>
    <col width="16" customWidth="1" min="7" max="7"/>
    <col width="18" customWidth="1" min="8" max="8"/>
    <col width="34" customWidth="1" min="9" max="9"/>
  </cols>
  <sheetData>
    <row r="1">
      <c r="A1" s="31" t="inlineStr">
        <is>
          <t>9 · ตารางสรุปสำหรับกรอก มคอ.5</t>
        </is>
      </c>
    </row>
    <row r="2">
      <c r="A2" s="16" t="inlineStr">
        <is>
          <t>รายงานผลการดำเนินการของรายวิชา — ระบบสรุปให้พร้อมนำไปกรอกในแบบฟอร์ม มคอ.5 โดยไม่ต้องรวบรวมคะแนนจากไฟล์ Excel หลายไฟล์อีก</t>
        </is>
      </c>
    </row>
    <row r="4">
      <c r="B4" s="47" t="inlineStr">
        <is>
          <t>03376120  ระบบฐานข้อมูล  ·  ภาคการศึกษาที่ 1 ปีการศึกษา 2568  ·  กลุ่มเรียน 01</t>
        </is>
      </c>
    </row>
    <row r="6">
      <c r="B6" s="13" t="inlineStr">
        <is>
          <t>ผลการดำเนินการตามผลลัพธ์การเรียนรู้ของรายวิชา</t>
        </is>
      </c>
    </row>
    <row r="7" ht="40" customHeight="1">
      <c r="B7" s="8" t="inlineStr">
        <is>
          <t>CLO ที่</t>
        </is>
      </c>
      <c r="C7" s="8" t="inlineStr">
        <is>
          <t>ผลลัพธ์การเรียนรู้ที่คาดหวัง</t>
        </is>
      </c>
      <c r="D7" s="8" t="inlineStr">
        <is>
          <t>ระดับ Bloom</t>
        </is>
      </c>
      <c r="E7" s="8" t="inlineStr">
        <is>
          <t>เกณฑ์ผ่านรายบุคคล (%)</t>
        </is>
      </c>
      <c r="F7" s="8" t="inlineStr">
        <is>
          <t>เป้าหมายระดับชั้น (%)</t>
        </is>
      </c>
      <c r="G7" s="8" t="inlineStr">
        <is>
          <t>ผลที่ได้จริง (%)</t>
        </is>
      </c>
      <c r="H7" s="8" t="inlineStr">
        <is>
          <t>จำนวนที่ผ่าน / ประเมินได้</t>
        </is>
      </c>
      <c r="I7" s="8" t="inlineStr">
        <is>
          <t>สรุปผล</t>
        </is>
      </c>
    </row>
    <row r="8" ht="34" customHeight="1">
      <c r="B8" s="40" t="inlineStr">
        <is>
          <t>CLO 1</t>
        </is>
      </c>
      <c r="C8" s="10" t="inlineStr">
        <is>
          <t>ออกแบบฐานข้อมูลเชิงสัมพันธ์จากโจทย์ที่กำหนดได้</t>
        </is>
      </c>
      <c r="D8" s="25" t="inlineStr">
        <is>
          <t>สร้างสรรค์</t>
        </is>
      </c>
      <c r="E8" s="25">
        <f>'2 CLO'!$E$5</f>
        <v/>
      </c>
      <c r="F8" s="25">
        <f>'2 CLO'!$G$5</f>
        <v/>
      </c>
      <c r="G8" s="59">
        <f>IF(COUNT('7 ผลการบรรลุ CLO'!D37:D44)=0,"—",COUNTIF('7 ผลการบรรลุ CLO'!D37:D44,"&gt;="&amp;E8)/COUNT('7 ผลการบรรลุ CLO'!D37:D44)*100)</f>
        <v/>
      </c>
      <c r="H8" s="25">
        <f>COUNTIF('7 ผลการบรรลุ CLO'!D37:D44,"&gt;="&amp;E8)&amp;" / "&amp;COUNT('7 ผลการบรรลุ CLO'!D37:D44)</f>
        <v/>
      </c>
      <c r="I8" s="40">
        <f>IF(G8="—","ยังสรุปไม่ได้",IF(G8&gt;=F8,"บรรลุตามเป้าหมาย","ยังไม่บรรลุ — ต้องทบทวนการจัดการเรียนการสอน"))</f>
        <v/>
      </c>
    </row>
    <row r="9" ht="34" customHeight="1">
      <c r="B9" s="42" t="inlineStr">
        <is>
          <t>CLO 2</t>
        </is>
      </c>
      <c r="C9" s="12" t="inlineStr">
        <is>
          <t>เขียนคำสั่งภาษาสอบถามเชิงโครงสร้าง (SQL) เพื่อสืบค้นและจัดการข้อมูลได้</t>
        </is>
      </c>
      <c r="D9" s="29" t="inlineStr">
        <is>
          <t>ประยุกต์ใช้</t>
        </is>
      </c>
      <c r="E9" s="29">
        <f>'2 CLO'!$E$6</f>
        <v/>
      </c>
      <c r="F9" s="29">
        <f>'2 CLO'!$G$6</f>
        <v/>
      </c>
      <c r="G9" s="62">
        <f>IF(COUNT('7 ผลการบรรลุ CLO'!E37:E44)=0,"—",COUNTIF('7 ผลการบรรลุ CLO'!E37:E44,"&gt;="&amp;E9)/COUNT('7 ผลการบรรลุ CLO'!E37:E44)*100)</f>
        <v/>
      </c>
      <c r="H9" s="29">
        <f>COUNTIF('7 ผลการบรรลุ CLO'!E37:E44,"&gt;="&amp;E9)&amp;" / "&amp;COUNT('7 ผลการบรรลุ CLO'!E37:E44)</f>
        <v/>
      </c>
      <c r="I9" s="42">
        <f>IF(G9="—","ยังสรุปไม่ได้",IF(G9&gt;=F9,"บรรลุตามเป้าหมาย","ยังไม่บรรลุ — ต้องทบทวนการจัดการเรียนการสอน"))</f>
        <v/>
      </c>
    </row>
    <row r="10" ht="34" customHeight="1">
      <c r="B10" s="40" t="inlineStr">
        <is>
          <t>CLO 3</t>
        </is>
      </c>
      <c r="C10" s="10" t="inlineStr">
        <is>
          <t>ทำบรรทัดฐาน (Normalization) ถึงระดับ 3NF ได้ถูกต้อง</t>
        </is>
      </c>
      <c r="D10" s="25" t="inlineStr">
        <is>
          <t>วิเคราะห์</t>
        </is>
      </c>
      <c r="E10" s="25">
        <f>'2 CLO'!$E$7</f>
        <v/>
      </c>
      <c r="F10" s="25">
        <f>'2 CLO'!$G$7</f>
        <v/>
      </c>
      <c r="G10" s="59">
        <f>IF(COUNT('7 ผลการบรรลุ CLO'!F37:F44)=0,"—",COUNTIF('7 ผลการบรรลุ CLO'!F37:F44,"&gt;="&amp;E10)/COUNT('7 ผลการบรรลุ CLO'!F37:F44)*100)</f>
        <v/>
      </c>
      <c r="H10" s="25">
        <f>COUNTIF('7 ผลการบรรลุ CLO'!F37:F44,"&gt;="&amp;E10)&amp;" / "&amp;COUNT('7 ผลการบรรลุ CLO'!F37:F44)</f>
        <v/>
      </c>
      <c r="I10" s="40">
        <f>IF(G10="—","ยังสรุปไม่ได้",IF(G10&gt;=F10,"บรรลุตามเป้าหมาย","ยังไม่บรรลุ — ต้องทบทวนการจัดการเรียนการสอน"))</f>
        <v/>
      </c>
    </row>
    <row r="11" ht="34" customHeight="1">
      <c r="B11" s="42" t="inlineStr">
        <is>
          <t>CLO 4</t>
        </is>
      </c>
      <c r="C11" s="12" t="inlineStr">
        <is>
          <t>เลือกใช้ฐานข้อมูลเชิงสัมพันธ์หรือโนเอสคิวแอลได้เหมาะสมกับลักษณะงาน</t>
        </is>
      </c>
      <c r="D11" s="29" t="inlineStr">
        <is>
          <t>ประเมินค่า</t>
        </is>
      </c>
      <c r="E11" s="29">
        <f>'2 CLO'!$E$8</f>
        <v/>
      </c>
      <c r="F11" s="29">
        <f>'2 CLO'!$G$8</f>
        <v/>
      </c>
      <c r="G11" s="62">
        <f>IF(COUNT('7 ผลการบรรลุ CLO'!G37:G44)=0,"—",COUNTIF('7 ผลการบรรลุ CLO'!G37:G44,"&gt;="&amp;E11)/COUNT('7 ผลการบรรลุ CLO'!G37:G44)*100)</f>
        <v/>
      </c>
      <c r="H11" s="29">
        <f>COUNTIF('7 ผลการบรรลุ CLO'!G37:G44,"&gt;="&amp;E11)&amp;" / "&amp;COUNT('7 ผลการบรรลุ CLO'!G37:G44)</f>
        <v/>
      </c>
      <c r="I11" s="42">
        <f>IF(G11="—","ยังสรุปไม่ได้",IF(G11&gt;=F11,"บรรลุตามเป้าหมาย","ยังไม่บรรลุ — ต้องทบทวนการจัดการเรียนการสอน"))</f>
        <v/>
      </c>
    </row>
    <row r="13">
      <c r="B13" s="13" t="inlineStr">
        <is>
          <t>สรุปจำนวนนักศึกษา</t>
        </is>
      </c>
    </row>
    <row r="14" ht="24" customHeight="1">
      <c r="B14" s="8" t="inlineStr">
        <is>
          <t>รายการ</t>
        </is>
      </c>
      <c r="C14" s="8" t="inlineStr">
        <is>
          <t>จำนวน (คน)</t>
        </is>
      </c>
    </row>
    <row r="15">
      <c r="B15" s="10" t="inlineStr">
        <is>
          <t>นักศึกษาทั้งหมดในรายวิชา</t>
        </is>
      </c>
      <c r="C15" s="23" t="n"/>
      <c r="D15" s="23" t="n"/>
      <c r="E15" s="23" t="n"/>
      <c r="F15" s="24" t="n"/>
      <c r="G15" s="40">
        <f>COUNTA('7 ผลการบรรลุ CLO'!B37:B44)</f>
        <v/>
      </c>
    </row>
    <row r="16">
      <c r="B16" s="12" t="inlineStr">
        <is>
          <t>ประเมินครบทุกกิจกรรมแล้ว</t>
        </is>
      </c>
      <c r="C16" s="23" t="n"/>
      <c r="D16" s="23" t="n"/>
      <c r="E16" s="23" t="n"/>
      <c r="F16" s="24" t="n"/>
      <c r="G16" s="42">
        <f>COUNTIF('7 ผลการบรรลุ CLO'!I37:I44,100)</f>
        <v/>
      </c>
    </row>
    <row r="17">
      <c r="B17" s="10" t="inlineStr">
        <is>
          <t>ยังประเมินไม่ครบ</t>
        </is>
      </c>
      <c r="C17" s="23" t="n"/>
      <c r="D17" s="23" t="n"/>
      <c r="E17" s="23" t="n"/>
      <c r="F17" s="24" t="n"/>
      <c r="G17" s="40">
        <f>COUNTIF('7 ผลการบรรลุ CLO'!L37:L44,"ยังประเมินไม่ครบ")</f>
        <v/>
      </c>
    </row>
    <row r="18">
      <c r="B18" s="12" t="inlineStr">
        <is>
          <t>ต้องติดตามเป็นพิเศษ (ยังไม่บรรลุ CLO อย่างน้อย 1 ข้อ)</t>
        </is>
      </c>
      <c r="C18" s="23" t="n"/>
      <c r="D18" s="23" t="n"/>
      <c r="E18" s="23" t="n"/>
      <c r="F18" s="24" t="n"/>
      <c r="G18" s="42">
        <f>COUNTIF('7 ผลการบรรลุ CLO'!L37:L44,"ต้องติดตามเป็นพิเศษ")</f>
        <v/>
      </c>
    </row>
    <row r="19">
      <c r="B19" s="10" t="inlineStr">
        <is>
          <t>ผ่านรายวิชาแล้ว</t>
        </is>
      </c>
      <c r="C19" s="23" t="n"/>
      <c r="D19" s="23" t="n"/>
      <c r="E19" s="23" t="n"/>
      <c r="F19" s="24" t="n"/>
      <c r="G19" s="40">
        <f>COUNTIF('7 ผลการบรรลุ CLO'!K37:K44,"ผ่าน")</f>
        <v/>
      </c>
    </row>
    <row r="21" ht="30" customHeight="1">
      <c r="B21" s="52" t="inlineStr">
        <is>
          <t>ตัวเลขทุกช่องในแผ่นนี้เชื่อมกับคะแนนในแผ่นที่ 6 โดยตรง เมื่อกรอกคะแนนเพิ่ม ตัวเลขจะปรับเอง อาจารย์จึงเปิดดูสถานะการบรรลุ CLO ได้ทุกสัปดาห์ ไม่ต้องรอสิ้นภาคการศึกษา ซึ่งเป็นข้อแตกต่างหลักจากการรวมคะแนนด้วย Excel แบบเดิม</t>
        </is>
      </c>
    </row>
  </sheetData>
  <mergeCells count="7">
    <mergeCell ref="B21:I21"/>
    <mergeCell ref="B16:F16"/>
    <mergeCell ref="B15:F15"/>
    <mergeCell ref="B19:F19"/>
    <mergeCell ref="B17:F17"/>
    <mergeCell ref="B18:F18"/>
    <mergeCell ref="B4:I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21" customWidth="1" min="3" max="3"/>
    <col width="26" customWidth="1" min="4" max="4"/>
    <col width="20" customWidth="1" min="5" max="5"/>
    <col width="11" customWidth="1" min="6" max="6"/>
    <col width="10" customWidth="1" min="7" max="7"/>
    <col width="11" customWidth="1" min="8" max="8"/>
    <col width="12" customWidth="1" min="9" max="9"/>
    <col width="13" customWidth="1" min="10" max="10"/>
    <col width="13" customWidth="1" min="11" max="11"/>
    <col width="14" customWidth="1" min="12" max="12"/>
    <col width="15" customWidth="1" min="13" max="13"/>
    <col width="13" customWidth="1" min="14" max="14"/>
    <col width="13" customWidth="1" min="15" max="15"/>
    <col width="19" customWidth="1" min="16" max="16"/>
    <col width="19" customWidth="1" min="17" max="17"/>
  </cols>
  <sheetData>
    <row r="1">
      <c r="A1" s="70" t="inlineStr">
        <is>
          <t>10 · ข้อมูลเดียวกันนี้ถูกเก็บในฐานข้อมูลอย่างไร</t>
        </is>
      </c>
    </row>
    <row r="2">
      <c r="A2" s="16" t="inlineStr">
        <is>
          <t>ทั้ง 13 ตาราง 80 คอลัมน์ ตามแผนภาพ ER ของระบบ พร้อมแถวข้อมูลที่ตรงกับทุกแผ่นงานก่อนหน้า — แต่ละตารางแสดงชื่อคอลัมน์ ชนิดข้อมูล และบทบาทของคีย์ครบทุกช่อง</t>
        </is>
      </c>
    </row>
    <row r="4">
      <c r="B4" s="71" t="inlineStr">
        <is>
          <t>ความหมายของแถบสีในแถว KEY :   PK = คีย์หลัก   ·   FK = คีย์อ้างอิงไปตารางอื่น   ·   UQ = ห้ามซ้ำ   ·   GEN = คอลัมน์ที่ฐานข้อมูลสร้างให้เอง   ·   NULL = ยังไม่มีค่า</t>
        </is>
      </c>
    </row>
    <row r="6" ht="22" customHeight="1">
      <c r="B6" s="72" t="inlineStr">
        <is>
          <t>User   —   8 คอลัมน์ · 3 แถว</t>
        </is>
      </c>
    </row>
    <row r="7">
      <c r="B7" s="73" t="inlineStr">
        <is>
          <t>เก็บอะไร: บัญชีผู้ใช้ระบบและบทบาท          ·          กรอกจากแผ่นงาน: ผู้ดูแลระบบสร้างให้</t>
        </is>
      </c>
    </row>
    <row r="8" ht="24" customHeight="1">
      <c r="B8" s="74" t="inlineStr">
        <is>
          <t>id</t>
        </is>
      </c>
      <c r="C8" s="74" t="inlineStr">
        <is>
          <t>email</t>
        </is>
      </c>
      <c r="D8" s="74" t="inlineStr">
        <is>
          <t>name</t>
        </is>
      </c>
      <c r="E8" s="74" t="inlineStr">
        <is>
          <t>passwordHash</t>
        </is>
      </c>
      <c r="F8" s="74" t="inlineStr">
        <is>
          <t>role</t>
        </is>
      </c>
      <c r="G8" s="74" t="inlineStr">
        <is>
          <t>isActive</t>
        </is>
      </c>
      <c r="H8" s="74" t="inlineStr">
        <is>
          <t>createdAt</t>
        </is>
      </c>
      <c r="I8" s="74" t="inlineStr">
        <is>
          <t>updatedAt</t>
        </is>
      </c>
    </row>
    <row r="9" ht="22" customHeight="1">
      <c r="B9" s="75" t="inlineStr">
        <is>
          <t>VARCHAR(30)</t>
        </is>
      </c>
      <c r="C9" s="75" t="inlineStr">
        <is>
          <t>VARCHAR(255)</t>
        </is>
      </c>
      <c r="D9" s="75" t="inlineStr">
        <is>
          <t>VARCHAR(255)</t>
        </is>
      </c>
      <c r="E9" s="75" t="inlineStr">
        <is>
          <t>VARCHAR(255)</t>
        </is>
      </c>
      <c r="F9" s="75" t="inlineStr">
        <is>
          <t>ENUM('ADMIN','INSTRUCTOR')</t>
        </is>
      </c>
      <c r="G9" s="75" t="inlineStr">
        <is>
          <t>TINYINT(1)</t>
        </is>
      </c>
      <c r="H9" s="75" t="inlineStr">
        <is>
          <t>DATETIME(3)</t>
        </is>
      </c>
      <c r="I9" s="75" t="inlineStr">
        <is>
          <t>DATETIME(3)</t>
        </is>
      </c>
    </row>
    <row r="10" ht="16" customHeight="1">
      <c r="B10" s="76" t="inlineStr">
        <is>
          <t>PK</t>
        </is>
      </c>
      <c r="C10" s="77" t="inlineStr">
        <is>
          <t>UQ</t>
        </is>
      </c>
      <c r="D10" s="78" t="inlineStr"/>
      <c r="E10" s="78" t="inlineStr"/>
      <c r="F10" s="78" t="inlineStr"/>
      <c r="G10" s="78" t="inlineStr"/>
      <c r="H10" s="78" t="inlineStr"/>
      <c r="I10" s="78" t="inlineStr"/>
    </row>
    <row r="11">
      <c r="B11" s="79" t="inlineStr">
        <is>
          <t>usr-01</t>
        </is>
      </c>
      <c r="C11" s="80" t="inlineStr">
        <is>
          <t>admin@kmitl.ac.th</t>
        </is>
      </c>
      <c r="D11" s="80" t="inlineStr">
        <is>
          <t>อ.ดร.สมชาย ใจดี</t>
        </is>
      </c>
      <c r="E11" s="80" t="inlineStr">
        <is>
          <t>$argon2id$v=19$m=65536,t=3,p=4$…</t>
        </is>
      </c>
      <c r="F11" s="80" t="inlineStr">
        <is>
          <t>ADMIN</t>
        </is>
      </c>
      <c r="G11" s="81" t="n">
        <v>1</v>
      </c>
      <c r="H11" s="80" t="inlineStr">
        <is>
          <t>2025-05-15 08:30:00</t>
        </is>
      </c>
      <c r="I11" s="80" t="inlineStr">
        <is>
          <t>2025-05-15 08:30:00</t>
        </is>
      </c>
    </row>
    <row r="12">
      <c r="B12" s="82" t="inlineStr">
        <is>
          <t>usr-02</t>
        </is>
      </c>
      <c r="C12" s="83" t="inlineStr">
        <is>
          <t>wichai.k@kmitl.ac.th</t>
        </is>
      </c>
      <c r="D12" s="83" t="inlineStr">
        <is>
          <t>ผศ.วิชัย คงเจริญ</t>
        </is>
      </c>
      <c r="E12" s="83" t="inlineStr">
        <is>
          <t>$argon2id$v=19$m=65536,t=3,p=4$…</t>
        </is>
      </c>
      <c r="F12" s="83" t="inlineStr">
        <is>
          <t>INSTRUCTOR</t>
        </is>
      </c>
      <c r="G12" s="84" t="n">
        <v>1</v>
      </c>
      <c r="H12" s="83" t="inlineStr">
        <is>
          <t>2025-05-15 08:30:00</t>
        </is>
      </c>
      <c r="I12" s="83" t="inlineStr">
        <is>
          <t>2025-05-15 08:30:00</t>
        </is>
      </c>
    </row>
    <row r="13">
      <c r="B13" s="79" t="inlineStr">
        <is>
          <t>usr-03</t>
        </is>
      </c>
      <c r="C13" s="80" t="inlineStr">
        <is>
          <t>suda.p@kmitl.ac.th</t>
        </is>
      </c>
      <c r="D13" s="80" t="inlineStr">
        <is>
          <t>อ.สุดา พรหมมา</t>
        </is>
      </c>
      <c r="E13" s="80" t="inlineStr">
        <is>
          <t>$argon2id$v=19$m=65536,t=3,p=4$…</t>
        </is>
      </c>
      <c r="F13" s="80" t="inlineStr">
        <is>
          <t>INSTRUCTOR</t>
        </is>
      </c>
      <c r="G13" s="81" t="n">
        <v>1</v>
      </c>
      <c r="H13" s="80" t="inlineStr">
        <is>
          <t>2025-05-15 08:30:00</t>
        </is>
      </c>
      <c r="I13" s="80" t="inlineStr">
        <is>
          <t>2025-05-15 08:30:00</t>
        </is>
      </c>
    </row>
    <row r="14" ht="30" customHeight="1">
      <c r="B14" s="14" t="inlineStr">
        <is>
          <t>passwordHash เก็บเฉพาะค่าที่ผ่านการเข้ารหัสด้วย argon2 แล้ว ระบบไม่เคยเก็บรหัสผ่านจริง และไม่มีทางถอดกลับได้  ·  isActive = 0 คือปิดบัญชี ใช้แทนการลบเสมอ</t>
        </is>
      </c>
    </row>
    <row r="17" ht="22" customHeight="1">
      <c r="B17" s="72" t="inlineStr">
        <is>
          <t>Course   —   16 คอลัมน์ · 1 แถว</t>
        </is>
      </c>
    </row>
    <row r="18">
      <c r="B18" s="73" t="inlineStr">
        <is>
          <t>เก็บอะไร: รายวิชา — เป็นรากของข้อมูลทั้งหมด ไม่มีตารางใดอยู่เหนือกว่านี้          ·          กรอกจากแผ่นงาน: 1 ข้อมูลรายวิชา</t>
        </is>
      </c>
    </row>
    <row r="19" ht="24" customHeight="1">
      <c r="B19" s="74" t="inlineStr">
        <is>
          <t>id</t>
        </is>
      </c>
      <c r="C19" s="74" t="inlineStr">
        <is>
          <t>code</t>
        </is>
      </c>
      <c r="D19" s="74" t="inlineStr">
        <is>
          <t>name</t>
        </is>
      </c>
      <c r="E19" s="74" t="inlineStr">
        <is>
          <t>nameEn</t>
        </is>
      </c>
      <c r="F19" s="74" t="inlineStr">
        <is>
          <t>semester</t>
        </is>
      </c>
      <c r="G19" s="74" t="inlineStr">
        <is>
          <t>year</t>
        </is>
      </c>
      <c r="H19" s="74" t="inlineStr">
        <is>
          <t>section</t>
        </is>
      </c>
      <c r="I19" s="74" t="inlineStr">
        <is>
          <t>credits</t>
        </is>
      </c>
      <c r="J19" s="74" t="inlineStr">
        <is>
          <t>lectureHours</t>
        </is>
      </c>
      <c r="K19" s="74" t="inlineStr">
        <is>
          <t>practiceHours</t>
        </is>
      </c>
      <c r="L19" s="74" t="inlineStr">
        <is>
          <t>selfStudyHours</t>
        </is>
      </c>
      <c r="M19" s="74" t="inlineStr">
        <is>
          <t>gradeScale</t>
        </is>
      </c>
      <c r="N19" s="74" t="inlineStr">
        <is>
          <t>passCriteria</t>
        </is>
      </c>
      <c r="O19" s="74" t="inlineStr">
        <is>
          <t>classTarget</t>
        </is>
      </c>
      <c r="P19" s="74" t="inlineStr">
        <is>
          <t>createdAt</t>
        </is>
      </c>
      <c r="Q19" s="74" t="inlineStr">
        <is>
          <t>updatedAt</t>
        </is>
      </c>
    </row>
    <row r="20" ht="22" customHeight="1">
      <c r="B20" s="75" t="inlineStr">
        <is>
          <t>VARCHAR(30)</t>
        </is>
      </c>
      <c r="C20" s="75" t="inlineStr">
        <is>
          <t>VARCHAR(50)</t>
        </is>
      </c>
      <c r="D20" s="75" t="inlineStr">
        <is>
          <t>VARCHAR(255)</t>
        </is>
      </c>
      <c r="E20" s="75" t="inlineStr">
        <is>
          <t>VARCHAR(255)</t>
        </is>
      </c>
      <c r="F20" s="75" t="inlineStr">
        <is>
          <t>INT</t>
        </is>
      </c>
      <c r="G20" s="75" t="inlineStr">
        <is>
          <t>INT</t>
        </is>
      </c>
      <c r="H20" s="75" t="inlineStr">
        <is>
          <t>VARCHAR(10)</t>
        </is>
      </c>
      <c r="I20" s="75" t="inlineStr">
        <is>
          <t>DECIMAL(3,1)</t>
        </is>
      </c>
      <c r="J20" s="75" t="inlineStr">
        <is>
          <t>DECIMAL(4,1)</t>
        </is>
      </c>
      <c r="K20" s="75" t="inlineStr">
        <is>
          <t>DECIMAL(4,1)</t>
        </is>
      </c>
      <c r="L20" s="75" t="inlineStr">
        <is>
          <t>DECIMAL(4,1)</t>
        </is>
      </c>
      <c r="M20" s="75" t="inlineStr">
        <is>
          <t>ENUM('LETTER','PASS_FAIL')</t>
        </is>
      </c>
      <c r="N20" s="75" t="inlineStr">
        <is>
          <t>DOUBLE</t>
        </is>
      </c>
      <c r="O20" s="75" t="inlineStr">
        <is>
          <t>DOUBLE</t>
        </is>
      </c>
      <c r="P20" s="75" t="inlineStr">
        <is>
          <t>DATETIME(3)</t>
        </is>
      </c>
      <c r="Q20" s="75" t="inlineStr">
        <is>
          <t>DATETIME(3)</t>
        </is>
      </c>
    </row>
    <row r="21" ht="16" customHeight="1">
      <c r="B21" s="76" t="inlineStr">
        <is>
          <t>PK</t>
        </is>
      </c>
      <c r="C21" s="77" t="inlineStr">
        <is>
          <t>UQ</t>
        </is>
      </c>
      <c r="D21" s="78" t="inlineStr"/>
      <c r="E21" s="78" t="inlineStr"/>
      <c r="F21" s="77" t="inlineStr">
        <is>
          <t>UQ</t>
        </is>
      </c>
      <c r="G21" s="77" t="inlineStr">
        <is>
          <t>UQ</t>
        </is>
      </c>
      <c r="H21" s="77" t="inlineStr">
        <is>
          <t>UQ</t>
        </is>
      </c>
      <c r="I21" s="78" t="inlineStr"/>
      <c r="J21" s="78" t="inlineStr"/>
      <c r="K21" s="78" t="inlineStr"/>
      <c r="L21" s="78" t="inlineStr"/>
      <c r="M21" s="78" t="inlineStr"/>
      <c r="N21" s="78" t="inlineStr"/>
      <c r="O21" s="78" t="inlineStr"/>
      <c r="P21" s="78" t="inlineStr"/>
      <c r="Q21" s="78" t="inlineStr"/>
    </row>
    <row r="22">
      <c r="B22" s="79" t="inlineStr">
        <is>
          <t>crs-01</t>
        </is>
      </c>
      <c r="C22" s="80" t="inlineStr">
        <is>
          <t>03376120</t>
        </is>
      </c>
      <c r="D22" s="80" t="inlineStr">
        <is>
          <t>ระบบฐานข้อมูล</t>
        </is>
      </c>
      <c r="E22" s="80" t="inlineStr">
        <is>
          <t>DATABASE SYSTEM</t>
        </is>
      </c>
      <c r="F22" s="81" t="n">
        <v>1</v>
      </c>
      <c r="G22" s="81" t="n">
        <v>2568</v>
      </c>
      <c r="H22" s="80" t="inlineStr">
        <is>
          <t>01</t>
        </is>
      </c>
      <c r="I22" s="81" t="n">
        <v>3</v>
      </c>
      <c r="J22" s="81" t="n">
        <v>2</v>
      </c>
      <c r="K22" s="81" t="n">
        <v>2</v>
      </c>
      <c r="L22" s="81" t="n">
        <v>5</v>
      </c>
      <c r="M22" s="80" t="inlineStr">
        <is>
          <t>LETTER</t>
        </is>
      </c>
      <c r="N22" s="81" t="n">
        <v>60</v>
      </c>
      <c r="O22" s="81" t="n">
        <v>70</v>
      </c>
      <c r="P22" s="80" t="inlineStr">
        <is>
          <t>2025-05-20 10:15:00</t>
        </is>
      </c>
      <c r="Q22" s="80" t="inlineStr">
        <is>
          <t>2025-06-02 14:05:00</t>
        </is>
      </c>
    </row>
    <row r="23" ht="30" customHeight="1">
      <c r="B23" s="14" t="inlineStr">
        <is>
          <t>หน่วยกิต 3 (2-2-5) ถูกแยกเก็บเป็นสี่คอลัมน์ คือ credits / lectureHours / practiceHours / selfStudyHours เพื่อให้คำนวณและตรวจสอบได้  ·  code + semester + year + section รวมกันต้องไม่ซ้ำ จึงเปิดวิชาเดียวกันหลายกลุ่มเรียนในเทอมเดียวได้  ·  year เก็บเป็น พ.ศ. (2568) ส่วนคอลัมน์ DATETIME ทั้งหมดเป็นเวลาจริงแบบ ค.ศ.</t>
        </is>
      </c>
    </row>
    <row r="26" ht="22" customHeight="1">
      <c r="B26" s="72" t="inlineStr">
        <is>
          <t>CourseInstructor   —   5 คอลัมน์ · 2 แถว</t>
        </is>
      </c>
    </row>
    <row r="27">
      <c r="B27" s="73" t="inlineStr">
        <is>
          <t>เก็บอะไร: ใครสอนวิชาไหน ในบทบาทใด (ตารางเชื่อม User กับ Course)          ·          กรอกจากแผ่นงาน: 1 ข้อมูลรายวิชา</t>
        </is>
      </c>
    </row>
    <row r="28" ht="24" customHeight="1">
      <c r="B28" s="74" t="inlineStr">
        <is>
          <t>id</t>
        </is>
      </c>
      <c r="C28" s="74" t="inlineStr">
        <is>
          <t>courseId</t>
        </is>
      </c>
      <c r="D28" s="74" t="inlineStr">
        <is>
          <t>userId</t>
        </is>
      </c>
      <c r="E28" s="74" t="inlineStr">
        <is>
          <t>role</t>
        </is>
      </c>
      <c r="F28" s="74" t="inlineStr">
        <is>
          <t>assignedAt</t>
        </is>
      </c>
    </row>
    <row r="29" ht="22" customHeight="1">
      <c r="B29" s="75" t="inlineStr">
        <is>
          <t>VARCHAR(30)</t>
        </is>
      </c>
      <c r="C29" s="75" t="inlineStr">
        <is>
          <t>VARCHAR(30)</t>
        </is>
      </c>
      <c r="D29" s="75" t="inlineStr">
        <is>
          <t>VARCHAR(30)</t>
        </is>
      </c>
      <c r="E29" s="75" t="inlineStr">
        <is>
          <t>ENUM('LEAD','CO','ASSISTANT')</t>
        </is>
      </c>
      <c r="F29" s="75" t="inlineStr">
        <is>
          <t>DATETIME(3)</t>
        </is>
      </c>
    </row>
    <row r="30" ht="16" customHeight="1">
      <c r="B30" s="76" t="inlineStr">
        <is>
          <t>PK</t>
        </is>
      </c>
      <c r="C30" s="85" t="inlineStr">
        <is>
          <t>FK</t>
        </is>
      </c>
      <c r="D30" s="85" t="inlineStr">
        <is>
          <t>FK</t>
        </is>
      </c>
      <c r="E30" s="78" t="inlineStr"/>
      <c r="F30" s="78" t="inlineStr"/>
    </row>
    <row r="31">
      <c r="B31" s="79" t="inlineStr">
        <is>
          <t>ci-01</t>
        </is>
      </c>
      <c r="C31" s="80" t="inlineStr">
        <is>
          <t>crs-01</t>
        </is>
      </c>
      <c r="D31" s="80" t="inlineStr">
        <is>
          <t>usr-02</t>
        </is>
      </c>
      <c r="E31" s="80" t="inlineStr">
        <is>
          <t>LEAD</t>
        </is>
      </c>
      <c r="F31" s="80" t="inlineStr">
        <is>
          <t>2025-06-01 09:00:00</t>
        </is>
      </c>
    </row>
    <row r="32">
      <c r="B32" s="82" t="inlineStr">
        <is>
          <t>ci-02</t>
        </is>
      </c>
      <c r="C32" s="83" t="inlineStr">
        <is>
          <t>crs-01</t>
        </is>
      </c>
      <c r="D32" s="83" t="inlineStr">
        <is>
          <t>usr-03</t>
        </is>
      </c>
      <c r="E32" s="83" t="inlineStr">
        <is>
          <t>CO</t>
        </is>
      </c>
      <c r="F32" s="83" t="inlineStr">
        <is>
          <t>2025-06-01 09:00:00</t>
        </is>
      </c>
    </row>
    <row r="33" ht="30" customHeight="1">
      <c r="B33" s="14" t="inlineStr">
        <is>
          <t>กฎ 'หนึ่งรายวิชามี LEAD ได้ไม่เกินหนึ่งคน' ไม่ได้เก็บเป็นคอลัมน์ — PostgreSQL บังคับด้วย partial unique index บน courseId เฉพาะแถวที่ role = LEAD  ·  ส่วน 'ต้องมีอย่างน้อยหนึ่งคน' บังคับที่ชั้นแอปพลิเคชัน เพราะแถวรายวิชาต้องมีอยู่ก่อนจึงจะมอบหมายใครได้</t>
        </is>
      </c>
    </row>
    <row r="36" ht="22" customHeight="1">
      <c r="B36" s="72" t="inlineStr">
        <is>
          <t>CLO   —   7 คอลัมน์ · 4 แถว</t>
        </is>
      </c>
    </row>
    <row r="37">
      <c r="B37" s="73" t="inlineStr">
        <is>
          <t>เก็บอะไร: ผลลัพธ์การเรียนรู้ของรายวิชา พร้อมเกณฑ์ผ่านรายบุคคล          ·          กรอกจากแผ่นงาน: 2 CLO</t>
        </is>
      </c>
    </row>
    <row r="38" ht="24" customHeight="1">
      <c r="B38" s="74" t="inlineStr">
        <is>
          <t>id</t>
        </is>
      </c>
      <c r="C38" s="74" t="inlineStr">
        <is>
          <t>courseId</t>
        </is>
      </c>
      <c r="D38" s="74" t="inlineStr">
        <is>
          <t>number</t>
        </is>
      </c>
      <c r="E38" s="74" t="inlineStr">
        <is>
          <t>description</t>
        </is>
      </c>
      <c r="F38" s="74" t="inlineStr">
        <is>
          <t>threshold</t>
        </is>
      </c>
      <c r="G38" s="74" t="inlineStr">
        <is>
          <t>bloomLevel</t>
        </is>
      </c>
      <c r="H38" s="74" t="inlineStr">
        <is>
          <t>classTarget</t>
        </is>
      </c>
    </row>
    <row r="39" ht="22" customHeight="1">
      <c r="B39" s="75" t="inlineStr">
        <is>
          <t>VARCHAR(30)</t>
        </is>
      </c>
      <c r="C39" s="75" t="inlineStr">
        <is>
          <t>VARCHAR(30)</t>
        </is>
      </c>
      <c r="D39" s="75" t="inlineStr">
        <is>
          <t>INT</t>
        </is>
      </c>
      <c r="E39" s="75" t="inlineStr">
        <is>
          <t>VARCHAR(1000)</t>
        </is>
      </c>
      <c r="F39" s="75" t="inlineStr">
        <is>
          <t>DOUBLE</t>
        </is>
      </c>
      <c r="G39" s="75" t="inlineStr">
        <is>
          <t>ENUM(6 ระดับ)</t>
        </is>
      </c>
      <c r="H39" s="75" t="inlineStr">
        <is>
          <t>DOUBLE</t>
        </is>
      </c>
    </row>
    <row r="40" ht="16" customHeight="1">
      <c r="B40" s="76" t="inlineStr">
        <is>
          <t>PK</t>
        </is>
      </c>
      <c r="C40" s="85" t="inlineStr">
        <is>
          <t>FK</t>
        </is>
      </c>
      <c r="D40" s="77" t="inlineStr">
        <is>
          <t>UQ</t>
        </is>
      </c>
      <c r="E40" s="78" t="inlineStr"/>
      <c r="F40" s="78" t="inlineStr"/>
      <c r="G40" s="86" t="inlineStr">
        <is>
          <t>NULL</t>
        </is>
      </c>
      <c r="H40" s="86" t="inlineStr">
        <is>
          <t>NULL</t>
        </is>
      </c>
    </row>
    <row r="41">
      <c r="B41" s="79" t="inlineStr">
        <is>
          <t>clo-01</t>
        </is>
      </c>
      <c r="C41" s="80" t="inlineStr">
        <is>
          <t>crs-01</t>
        </is>
      </c>
      <c r="D41" s="81" t="n">
        <v>1</v>
      </c>
      <c r="E41" s="80" t="inlineStr">
        <is>
          <t>ออกแบบฐานข้อมูลเชิงสัมพันธ์จากโจทย์ที่กำหนดได้</t>
        </is>
      </c>
      <c r="F41" s="81" t="n">
        <v>60</v>
      </c>
      <c r="G41" s="80" t="inlineStr">
        <is>
          <t>CREATE</t>
        </is>
      </c>
      <c r="H41" s="81" t="n">
        <v>60</v>
      </c>
    </row>
    <row r="42">
      <c r="B42" s="82" t="inlineStr">
        <is>
          <t>clo-02</t>
        </is>
      </c>
      <c r="C42" s="83" t="inlineStr">
        <is>
          <t>crs-01</t>
        </is>
      </c>
      <c r="D42" s="84" t="n">
        <v>2</v>
      </c>
      <c r="E42" s="83" t="inlineStr">
        <is>
          <t>เขียนคำสั่งภาษาสอบถามเชิงโครงสร้าง (SQL) เพื่อสืบค้นและจัดการข้อมูลได้</t>
        </is>
      </c>
      <c r="F42" s="84" t="n">
        <v>60</v>
      </c>
      <c r="G42" s="83" t="inlineStr">
        <is>
          <t>APPLY</t>
        </is>
      </c>
      <c r="H42" s="83" t="inlineStr">
        <is>
          <t>— ว่าง —</t>
        </is>
      </c>
    </row>
    <row r="43">
      <c r="B43" s="79" t="inlineStr">
        <is>
          <t>clo-03</t>
        </is>
      </c>
      <c r="C43" s="80" t="inlineStr">
        <is>
          <t>crs-01</t>
        </is>
      </c>
      <c r="D43" s="81" t="n">
        <v>3</v>
      </c>
      <c r="E43" s="80" t="inlineStr">
        <is>
          <t>ทำบรรทัดฐาน (Normalization) ถึงระดับ 3NF ได้ถูกต้อง</t>
        </is>
      </c>
      <c r="F43" s="81" t="n">
        <v>65</v>
      </c>
      <c r="G43" s="80" t="inlineStr">
        <is>
          <t>ANALYZE</t>
        </is>
      </c>
      <c r="H43" s="80" t="inlineStr">
        <is>
          <t>— ว่าง —</t>
        </is>
      </c>
    </row>
    <row r="44">
      <c r="B44" s="82" t="inlineStr">
        <is>
          <t>clo-04</t>
        </is>
      </c>
      <c r="C44" s="83" t="inlineStr">
        <is>
          <t>crs-01</t>
        </is>
      </c>
      <c r="D44" s="84" t="n">
        <v>4</v>
      </c>
      <c r="E44" s="83" t="inlineStr">
        <is>
          <t>เลือกใช้ฐานข้อมูลเชิงสัมพันธ์หรือโนเอสคิวแอลได้เหมาะสมกับลักษณะงาน</t>
        </is>
      </c>
      <c r="F44" s="84" t="n">
        <v>60</v>
      </c>
      <c r="G44" s="83" t="inlineStr">
        <is>
          <t>EVALUATE</t>
        </is>
      </c>
      <c r="H44" s="84" t="n">
        <v>65</v>
      </c>
    </row>
    <row r="45" ht="30" customHeight="1">
      <c r="B45" s="14" t="inlineStr">
        <is>
          <t>courseId + number ห้ามซ้ำ — ถ้ามี CLO 1 สองแถวในวิชาเดียวกัน รายงานการบรรลุจะผิดทั้งฉบับโดยไม่มีสัญญาณเตือน</t>
        </is>
      </c>
    </row>
    <row r="46" ht="30" customHeight="1">
      <c r="B46" s="38" t="inlineStr">
        <is>
          <t>bloomLevel ไม่มีค่าเริ่มต้นโดยตั้งใจ — การเดาให้เป็น 'จำ' ทุกแถวจะทำให้คอลัมน์นี้หมดประโยชน์ ทันที เพราะมีไว้ตรวจว่าวิธีวัดตรงกับระดับพฤติกรรมที่เขียนไว้หรือไม่  ·  classTarget ที่เว้นว่าง หมายถึงใช้ค่าของรายวิชา ไม่ใช่ศูนย์</t>
        </is>
      </c>
    </row>
    <row r="49" ht="22" customHeight="1">
      <c r="B49" s="72" t="inlineStr">
        <is>
          <t>BehavioralObjective   —   4 คอลัมน์ · 7 แถว</t>
        </is>
      </c>
    </row>
    <row r="50">
      <c r="B50" s="73" t="inlineStr">
        <is>
          <t>เก็บอะไร: จุดประสงค์เชิงพฤติกรรมที่ย่อยลงมาจาก CLO          ·          กรอกจากแผ่นงาน: 2 CLO</t>
        </is>
      </c>
    </row>
    <row r="51" ht="24" customHeight="1">
      <c r="B51" s="74" t="inlineStr">
        <is>
          <t>id</t>
        </is>
      </c>
      <c r="C51" s="74" t="inlineStr">
        <is>
          <t>cloId</t>
        </is>
      </c>
      <c r="D51" s="74" t="inlineStr">
        <is>
          <t>number</t>
        </is>
      </c>
      <c r="E51" s="74" t="inlineStr">
        <is>
          <t>description</t>
        </is>
      </c>
    </row>
    <row r="52" ht="22" customHeight="1">
      <c r="B52" s="75" t="inlineStr">
        <is>
          <t>VARCHAR(30)</t>
        </is>
      </c>
      <c r="C52" s="75" t="inlineStr">
        <is>
          <t>VARCHAR(30)</t>
        </is>
      </c>
      <c r="D52" s="75" t="inlineStr">
        <is>
          <t>INT</t>
        </is>
      </c>
      <c r="E52" s="75" t="inlineStr">
        <is>
          <t>VARCHAR(1000)</t>
        </is>
      </c>
    </row>
    <row r="53" ht="16" customHeight="1">
      <c r="B53" s="76" t="inlineStr">
        <is>
          <t>PK</t>
        </is>
      </c>
      <c r="C53" s="85" t="inlineStr">
        <is>
          <t>FK</t>
        </is>
      </c>
      <c r="D53" s="77" t="inlineStr">
        <is>
          <t>UQ</t>
        </is>
      </c>
      <c r="E53" s="78" t="inlineStr"/>
    </row>
    <row r="54">
      <c r="B54" s="79" t="inlineStr">
        <is>
          <t>obj-01</t>
        </is>
      </c>
      <c r="C54" s="80" t="inlineStr">
        <is>
          <t>clo-01</t>
        </is>
      </c>
      <c r="D54" s="81" t="n">
        <v>1</v>
      </c>
      <c r="E54" s="80" t="inlineStr">
        <is>
          <t>เขียนแผนภาพ ER จากความต้องการของผู้ใช้ได้</t>
        </is>
      </c>
    </row>
    <row r="55">
      <c r="B55" s="82" t="inlineStr">
        <is>
          <t>obj-02</t>
        </is>
      </c>
      <c r="C55" s="83" t="inlineStr">
        <is>
          <t>clo-01</t>
        </is>
      </c>
      <c r="D55" s="84" t="n">
        <v>2</v>
      </c>
      <c r="E55" s="83" t="inlineStr">
        <is>
          <t>แปลงแผนภาพ ER เป็นตารางเชิงสัมพันธ์ได้</t>
        </is>
      </c>
    </row>
    <row r="56">
      <c r="B56" s="79" t="inlineStr">
        <is>
          <t>obj-03</t>
        </is>
      </c>
      <c r="C56" s="80" t="inlineStr">
        <is>
          <t>clo-02</t>
        </is>
      </c>
      <c r="D56" s="81" t="n">
        <v>1</v>
      </c>
      <c r="E56" s="80" t="inlineStr">
        <is>
          <t>เขียนคำสั่ง SELECT พร้อม JOIN หลายตารางได้</t>
        </is>
      </c>
    </row>
    <row r="57">
      <c r="B57" s="82" t="inlineStr">
        <is>
          <t>obj-04</t>
        </is>
      </c>
      <c r="C57" s="83" t="inlineStr">
        <is>
          <t>clo-02</t>
        </is>
      </c>
      <c r="D57" s="84" t="n">
        <v>2</v>
      </c>
      <c r="E57" s="83" t="inlineStr">
        <is>
          <t>ใช้ subquery และฟังก์ชันรวม (aggregate function) ได้</t>
        </is>
      </c>
    </row>
    <row r="58">
      <c r="B58" s="79" t="inlineStr">
        <is>
          <t>obj-05</t>
        </is>
      </c>
      <c r="C58" s="80" t="inlineStr">
        <is>
          <t>clo-03</t>
        </is>
      </c>
      <c r="D58" s="81" t="n">
        <v>1</v>
      </c>
      <c r="E58" s="80" t="inlineStr">
        <is>
          <t>ระบุความสัมพันธ์เชิงหน้าที่ (functional dependency) ของตารางได้</t>
        </is>
      </c>
    </row>
    <row r="59">
      <c r="B59" s="82" t="inlineStr">
        <is>
          <t>obj-06</t>
        </is>
      </c>
      <c r="C59" s="83" t="inlineStr">
        <is>
          <t>clo-03</t>
        </is>
      </c>
      <c r="D59" s="84" t="n">
        <v>2</v>
      </c>
      <c r="E59" s="83" t="inlineStr">
        <is>
          <t>แปลงตารางให้อยู่ในรูปบรรทัดฐานที่ 3 (3NF) ได้</t>
        </is>
      </c>
    </row>
    <row r="60">
      <c r="B60" s="79" t="inlineStr">
        <is>
          <t>obj-07</t>
        </is>
      </c>
      <c r="C60" s="80" t="inlineStr">
        <is>
          <t>clo-04</t>
        </is>
      </c>
      <c r="D60" s="81" t="n">
        <v>1</v>
      </c>
      <c r="E60" s="80" t="inlineStr">
        <is>
          <t>เปรียบเทียบข้อดีข้อเสียของฐานข้อมูลเชิงสัมพันธ์กับโนเอสคิวแอลได้</t>
        </is>
      </c>
    </row>
    <row r="63" ht="22" customHeight="1">
      <c r="B63" s="72" t="inlineStr">
        <is>
          <t>Activity   —   7 คอลัมน์ · 5 แถว</t>
        </is>
      </c>
    </row>
    <row r="64">
      <c r="B64" s="73" t="inlineStr">
        <is>
          <t>เก็บอะไร: กิจกรรมการประเมิน คะแนนเต็ม และสัดส่วนต่อรายวิชา          ·          กรอกจากแผ่นงาน: 3 แผนประเมิน มคอ.3</t>
        </is>
      </c>
    </row>
    <row r="65" ht="24" customHeight="1">
      <c r="B65" s="74" t="inlineStr">
        <is>
          <t>id</t>
        </is>
      </c>
      <c r="C65" s="74" t="inlineStr">
        <is>
          <t>courseId</t>
        </is>
      </c>
      <c r="D65" s="74" t="inlineStr">
        <is>
          <t>name</t>
        </is>
      </c>
      <c r="E65" s="74" t="inlineStr">
        <is>
          <t>method</t>
        </is>
      </c>
      <c r="F65" s="74" t="inlineStr">
        <is>
          <t>maxScore</t>
        </is>
      </c>
      <c r="G65" s="74" t="inlineStr">
        <is>
          <t>order</t>
        </is>
      </c>
      <c r="H65" s="74" t="inlineStr">
        <is>
          <t>weight</t>
        </is>
      </c>
    </row>
    <row r="66" ht="22" customHeight="1">
      <c r="B66" s="75" t="inlineStr">
        <is>
          <t>VARCHAR(30)</t>
        </is>
      </c>
      <c r="C66" s="75" t="inlineStr">
        <is>
          <t>VARCHAR(30)</t>
        </is>
      </c>
      <c r="D66" s="75" t="inlineStr">
        <is>
          <t>VARCHAR(255)</t>
        </is>
      </c>
      <c r="E66" s="75" t="inlineStr">
        <is>
          <t>VARCHAR(255)</t>
        </is>
      </c>
      <c r="F66" s="75" t="inlineStr">
        <is>
          <t>DOUBLE</t>
        </is>
      </c>
      <c r="G66" s="75" t="inlineStr">
        <is>
          <t>INT</t>
        </is>
      </c>
      <c r="H66" s="75" t="inlineStr">
        <is>
          <t>DOUBLE</t>
        </is>
      </c>
    </row>
    <row r="67" ht="16" customHeight="1">
      <c r="B67" s="76" t="inlineStr">
        <is>
          <t>PK</t>
        </is>
      </c>
      <c r="C67" s="85" t="inlineStr">
        <is>
          <t>FK</t>
        </is>
      </c>
      <c r="D67" s="78" t="inlineStr"/>
      <c r="E67" s="78" t="inlineStr"/>
      <c r="F67" s="78" t="inlineStr"/>
      <c r="G67" s="78" t="inlineStr"/>
      <c r="H67" s="78" t="inlineStr"/>
    </row>
    <row r="68">
      <c r="B68" s="79" t="inlineStr">
        <is>
          <t>act-01</t>
        </is>
      </c>
      <c r="C68" s="80" t="inlineStr">
        <is>
          <t>crs-01</t>
        </is>
      </c>
      <c r="D68" s="80" t="inlineStr">
        <is>
          <t>แบบทดสอบย่อยครั้งที่ 1 — แผนภาพ ER</t>
        </is>
      </c>
      <c r="E68" s="80" t="inlineStr">
        <is>
          <t>สอบย่อย</t>
        </is>
      </c>
      <c r="F68" s="81" t="n">
        <v>20</v>
      </c>
      <c r="G68" s="81" t="n">
        <v>1</v>
      </c>
      <c r="H68" s="81" t="n">
        <v>10</v>
      </c>
    </row>
    <row r="69">
      <c r="B69" s="82" t="inlineStr">
        <is>
          <t>act-02</t>
        </is>
      </c>
      <c r="C69" s="83" t="inlineStr">
        <is>
          <t>crs-01</t>
        </is>
      </c>
      <c r="D69" s="83" t="inlineStr">
        <is>
          <t>สอบกลางภาค</t>
        </is>
      </c>
      <c r="E69" s="83" t="inlineStr">
        <is>
          <t>สอบข้อเขียน</t>
        </is>
      </c>
      <c r="F69" s="84" t="n">
        <v>100</v>
      </c>
      <c r="G69" s="84" t="n">
        <v>2</v>
      </c>
      <c r="H69" s="84" t="n">
        <v>30</v>
      </c>
    </row>
    <row r="70">
      <c r="B70" s="79" t="inlineStr">
        <is>
          <t>act-03</t>
        </is>
      </c>
      <c r="C70" s="80" t="inlineStr">
        <is>
          <t>crs-01</t>
        </is>
      </c>
      <c r="D70" s="80" t="inlineStr">
        <is>
          <t>ปฏิบัติการ SQL (Lab)</t>
        </is>
      </c>
      <c r="E70" s="80" t="inlineStr">
        <is>
          <t>ประเมินชิ้นงานปฏิบัติ</t>
        </is>
      </c>
      <c r="F70" s="81" t="n">
        <v>50</v>
      </c>
      <c r="G70" s="81" t="n">
        <v>3</v>
      </c>
      <c r="H70" s="81" t="n">
        <v>20</v>
      </c>
    </row>
    <row r="71">
      <c r="B71" s="82" t="inlineStr">
        <is>
          <t>act-04</t>
        </is>
      </c>
      <c r="C71" s="83" t="inlineStr">
        <is>
          <t>crs-01</t>
        </is>
      </c>
      <c r="D71" s="83" t="inlineStr">
        <is>
          <t>โครงงานกลุ่ม</t>
        </is>
      </c>
      <c r="E71" s="83" t="inlineStr">
        <is>
          <t>ประเมินชิ้นงานและการนำเสนอ</t>
        </is>
      </c>
      <c r="F71" s="84" t="n">
        <v>100</v>
      </c>
      <c r="G71" s="84" t="n">
        <v>4</v>
      </c>
      <c r="H71" s="84" t="n">
        <v>25</v>
      </c>
    </row>
    <row r="72">
      <c r="B72" s="79" t="inlineStr">
        <is>
          <t>act-05</t>
        </is>
      </c>
      <c r="C72" s="80" t="inlineStr">
        <is>
          <t>crs-01</t>
        </is>
      </c>
      <c r="D72" s="80" t="inlineStr">
        <is>
          <t>สอบปลายภาค</t>
        </is>
      </c>
      <c r="E72" s="80" t="inlineStr">
        <is>
          <t>สอบข้อเขียน</t>
        </is>
      </c>
      <c r="F72" s="81" t="n">
        <v>100</v>
      </c>
      <c r="G72" s="81" t="n">
        <v>5</v>
      </c>
      <c r="H72" s="81" t="n">
        <v>15</v>
      </c>
    </row>
    <row r="73" ht="30" customHeight="1">
      <c r="B73" s="14" t="inlineStr">
        <is>
          <t>order คือลำดับการแสดงผลบนหน้าจอ ไม่ใช่ลำดับเวลา  ·  maxScore ต้องมากกว่า 0 เสมอ เพราะทุกสูตรคำนวณต้องหารด้วยค่านี้  ·  ผลรวมของ weight ทุกแถวในวิชาเดียวกันต้องเท่ากับ 100</t>
        </is>
      </c>
    </row>
    <row r="74" ht="30" customHeight="1">
      <c r="B74" s="38" t="inlineStr">
        <is>
          <t>ยังไม่มีคอลัมน์ 'สัปดาห์ที่ประเมิน' ซึ่ง มคอ.3 หมวดที่ 5 กำหนดให้ต้องระบุ — ต้องเพิ่มคอลัมน์นี้ก่อน ระบบจึงจะออกแบบฟอร์ม มคอ.3 ได้ครบทุกช่อง</t>
        </is>
      </c>
    </row>
    <row r="77" ht="22" customHeight="1">
      <c r="B77" s="72" t="inlineStr">
        <is>
          <t>AssessmentCriteria   —   4 คอลัมน์ · 10 แถว</t>
        </is>
      </c>
    </row>
    <row r="78">
      <c r="B78" s="73" t="inlineStr">
        <is>
          <t>เก็บอะไร: กิจกรรมใดวัด CLO ข้อใด ด้วยน้ำหนักเท่าใด (หัวใจของการคำนวณ)          ·          กรอกจากแผ่นงาน: 4 เมทริกซ์ CLO x กิจกรรม</t>
        </is>
      </c>
    </row>
    <row r="79" ht="24" customHeight="1">
      <c r="B79" s="74" t="inlineStr">
        <is>
          <t>id</t>
        </is>
      </c>
      <c r="C79" s="74" t="inlineStr">
        <is>
          <t>activityId</t>
        </is>
      </c>
      <c r="D79" s="74" t="inlineStr">
        <is>
          <t>cloId</t>
        </is>
      </c>
      <c r="E79" s="74" t="inlineStr">
        <is>
          <t>weight</t>
        </is>
      </c>
    </row>
    <row r="80" ht="22" customHeight="1">
      <c r="B80" s="75" t="inlineStr">
        <is>
          <t>VARCHAR(30)</t>
        </is>
      </c>
      <c r="C80" s="75" t="inlineStr">
        <is>
          <t>VARCHAR(30)</t>
        </is>
      </c>
      <c r="D80" s="75" t="inlineStr">
        <is>
          <t>VARCHAR(30)</t>
        </is>
      </c>
      <c r="E80" s="75" t="inlineStr">
        <is>
          <t>DOUBLE</t>
        </is>
      </c>
    </row>
    <row r="81" ht="16" customHeight="1">
      <c r="B81" s="76" t="inlineStr">
        <is>
          <t>PK</t>
        </is>
      </c>
      <c r="C81" s="85" t="inlineStr">
        <is>
          <t>FK</t>
        </is>
      </c>
      <c r="D81" s="85" t="inlineStr">
        <is>
          <t>FK</t>
        </is>
      </c>
      <c r="E81" s="78" t="inlineStr"/>
    </row>
    <row r="82">
      <c r="B82" s="79" t="inlineStr">
        <is>
          <t>ac-01</t>
        </is>
      </c>
      <c r="C82" s="80" t="inlineStr">
        <is>
          <t>act-01</t>
        </is>
      </c>
      <c r="D82" s="80" t="inlineStr">
        <is>
          <t>clo-01</t>
        </is>
      </c>
      <c r="E82" s="81" t="n">
        <v>100</v>
      </c>
    </row>
    <row r="83">
      <c r="B83" s="82" t="inlineStr">
        <is>
          <t>ac-02</t>
        </is>
      </c>
      <c r="C83" s="83" t="inlineStr">
        <is>
          <t>act-02</t>
        </is>
      </c>
      <c r="D83" s="83" t="inlineStr">
        <is>
          <t>clo-01</t>
        </is>
      </c>
      <c r="E83" s="84" t="n">
        <v>40</v>
      </c>
    </row>
    <row r="84">
      <c r="B84" s="79" t="inlineStr">
        <is>
          <t>ac-03</t>
        </is>
      </c>
      <c r="C84" s="80" t="inlineStr">
        <is>
          <t>act-02</t>
        </is>
      </c>
      <c r="D84" s="80" t="inlineStr">
        <is>
          <t>clo-02</t>
        </is>
      </c>
      <c r="E84" s="81" t="n">
        <v>60</v>
      </c>
    </row>
    <row r="85">
      <c r="B85" s="82" t="inlineStr">
        <is>
          <t>ac-04</t>
        </is>
      </c>
      <c r="C85" s="83" t="inlineStr">
        <is>
          <t>act-03</t>
        </is>
      </c>
      <c r="D85" s="83" t="inlineStr">
        <is>
          <t>clo-02</t>
        </is>
      </c>
      <c r="E85" s="84" t="n">
        <v>70</v>
      </c>
    </row>
    <row r="86">
      <c r="B86" s="79" t="inlineStr">
        <is>
          <t>ac-05</t>
        </is>
      </c>
      <c r="C86" s="80" t="inlineStr">
        <is>
          <t>act-03</t>
        </is>
      </c>
      <c r="D86" s="80" t="inlineStr">
        <is>
          <t>clo-03</t>
        </is>
      </c>
      <c r="E86" s="81" t="n">
        <v>30</v>
      </c>
    </row>
    <row r="87">
      <c r="B87" s="82" t="inlineStr">
        <is>
          <t>ac-06</t>
        </is>
      </c>
      <c r="C87" s="83" t="inlineStr">
        <is>
          <t>act-04</t>
        </is>
      </c>
      <c r="D87" s="83" t="inlineStr">
        <is>
          <t>clo-01</t>
        </is>
      </c>
      <c r="E87" s="84" t="n">
        <v>20</v>
      </c>
    </row>
    <row r="88">
      <c r="B88" s="79" t="inlineStr">
        <is>
          <t>ac-07</t>
        </is>
      </c>
      <c r="C88" s="80" t="inlineStr">
        <is>
          <t>act-04</t>
        </is>
      </c>
      <c r="D88" s="80" t="inlineStr">
        <is>
          <t>clo-03</t>
        </is>
      </c>
      <c r="E88" s="81" t="n">
        <v>40</v>
      </c>
    </row>
    <row r="89">
      <c r="B89" s="82" t="inlineStr">
        <is>
          <t>ac-08</t>
        </is>
      </c>
      <c r="C89" s="83" t="inlineStr">
        <is>
          <t>act-04</t>
        </is>
      </c>
      <c r="D89" s="83" t="inlineStr">
        <is>
          <t>clo-04</t>
        </is>
      </c>
      <c r="E89" s="84" t="n">
        <v>40</v>
      </c>
    </row>
    <row r="90">
      <c r="B90" s="79" t="inlineStr">
        <is>
          <t>ac-09</t>
        </is>
      </c>
      <c r="C90" s="80" t="inlineStr">
        <is>
          <t>act-05</t>
        </is>
      </c>
      <c r="D90" s="80" t="inlineStr">
        <is>
          <t>clo-02</t>
        </is>
      </c>
      <c r="E90" s="81" t="n">
        <v>50</v>
      </c>
    </row>
    <row r="91">
      <c r="B91" s="82" t="inlineStr">
        <is>
          <t>ac-10</t>
        </is>
      </c>
      <c r="C91" s="83" t="inlineStr">
        <is>
          <t>act-05</t>
        </is>
      </c>
      <c r="D91" s="83" t="inlineStr">
        <is>
          <t>clo-03</t>
        </is>
      </c>
      <c r="E91" s="84" t="n">
        <v>50</v>
      </c>
    </row>
    <row r="92" ht="30" customHeight="1">
      <c r="B92" s="14" t="inlineStr">
        <is>
          <t>เมทริกซ์ในแผ่นที่ 4 มี 5×4 = 20 ช่อง แต่เก็บจริงเพียง 10 แถว เพราะช่องที่เป็น 0 หมายถึงไม่มีความสัมพันธ์ จึงไม่ต้องมีแถว  ·  มีกลไกตรวจที่ฐานข้อมูลว่ากิจกรรมและ CLO ต้องอยู่ในรายวิชาเดียวกัน</t>
        </is>
      </c>
    </row>
    <row r="95" ht="22" customHeight="1">
      <c r="B95" s="72" t="inlineStr">
        <is>
          <t>ObjectiveAssessment   —   3 คอลัมน์ · 7 แถว</t>
        </is>
      </c>
    </row>
    <row r="96">
      <c r="B96" s="73" t="inlineStr">
        <is>
          <t>เก็บอะไร: เกณฑ์การประเมินนี้เป็นหลักฐานของจุดประสงค์เชิงพฤติกรรมข้อใด          ·          กรอกจากแผ่นงาน: 4 เมทริกซ์ CLO x กิจกรรม</t>
        </is>
      </c>
    </row>
    <row r="97" ht="24" customHeight="1">
      <c r="B97" s="74" t="inlineStr">
        <is>
          <t>id</t>
        </is>
      </c>
      <c r="C97" s="74" t="inlineStr">
        <is>
          <t>criteriaId</t>
        </is>
      </c>
      <c r="D97" s="74" t="inlineStr">
        <is>
          <t>objectiveId</t>
        </is>
      </c>
    </row>
    <row r="98" ht="22" customHeight="1">
      <c r="B98" s="75" t="inlineStr">
        <is>
          <t>VARCHAR(30)</t>
        </is>
      </c>
      <c r="C98" s="75" t="inlineStr">
        <is>
          <t>VARCHAR(30)</t>
        </is>
      </c>
      <c r="D98" s="75" t="inlineStr">
        <is>
          <t>VARCHAR(30)</t>
        </is>
      </c>
    </row>
    <row r="99" ht="16" customHeight="1">
      <c r="B99" s="76" t="inlineStr">
        <is>
          <t>PK</t>
        </is>
      </c>
      <c r="C99" s="85" t="inlineStr">
        <is>
          <t>FK</t>
        </is>
      </c>
      <c r="D99" s="85" t="inlineStr">
        <is>
          <t>FK</t>
        </is>
      </c>
    </row>
    <row r="100">
      <c r="B100" s="79" t="inlineStr">
        <is>
          <t>oa-01</t>
        </is>
      </c>
      <c r="C100" s="80" t="inlineStr">
        <is>
          <t>ac-01</t>
        </is>
      </c>
      <c r="D100" s="80" t="inlineStr">
        <is>
          <t>obj-01</t>
        </is>
      </c>
    </row>
    <row r="101">
      <c r="B101" s="82" t="inlineStr">
        <is>
          <t>oa-02</t>
        </is>
      </c>
      <c r="C101" s="83" t="inlineStr">
        <is>
          <t>ac-02</t>
        </is>
      </c>
      <c r="D101" s="83" t="inlineStr">
        <is>
          <t>obj-02</t>
        </is>
      </c>
    </row>
    <row r="102">
      <c r="B102" s="79" t="inlineStr">
        <is>
          <t>oa-03</t>
        </is>
      </c>
      <c r="C102" s="80" t="inlineStr">
        <is>
          <t>ac-03</t>
        </is>
      </c>
      <c r="D102" s="80" t="inlineStr">
        <is>
          <t>obj-03</t>
        </is>
      </c>
    </row>
    <row r="103">
      <c r="B103" s="82" t="inlineStr">
        <is>
          <t>oa-04</t>
        </is>
      </c>
      <c r="C103" s="83" t="inlineStr">
        <is>
          <t>ac-04</t>
        </is>
      </c>
      <c r="D103" s="83" t="inlineStr">
        <is>
          <t>obj-04</t>
        </is>
      </c>
    </row>
    <row r="104">
      <c r="B104" s="79" t="inlineStr">
        <is>
          <t>oa-05</t>
        </is>
      </c>
      <c r="C104" s="80" t="inlineStr">
        <is>
          <t>ac-05</t>
        </is>
      </c>
      <c r="D104" s="80" t="inlineStr">
        <is>
          <t>obj-05</t>
        </is>
      </c>
    </row>
    <row r="105">
      <c r="B105" s="82" t="inlineStr">
        <is>
          <t>oa-06</t>
        </is>
      </c>
      <c r="C105" s="83" t="inlineStr">
        <is>
          <t>ac-07</t>
        </is>
      </c>
      <c r="D105" s="83" t="inlineStr">
        <is>
          <t>obj-06</t>
        </is>
      </c>
    </row>
    <row r="106">
      <c r="B106" s="79" t="inlineStr">
        <is>
          <t>oa-07</t>
        </is>
      </c>
      <c r="C106" s="80" t="inlineStr">
        <is>
          <t>ac-08</t>
        </is>
      </c>
      <c r="D106" s="80" t="inlineStr">
        <is>
          <t>obj-07</t>
        </is>
      </c>
    </row>
    <row r="107" ht="30" customHeight="1">
      <c r="B107" s="14" t="inlineStr">
        <is>
          <t>ใช้เพื่อตามรอยเท่านั้น ไม่มีผลต่อคะแนนหรือการคำนวณใด ๆ</t>
        </is>
      </c>
    </row>
    <row r="110" ht="22" customHeight="1">
      <c r="B110" s="72" t="inlineStr">
        <is>
          <t>Student   —   4 คอลัมน์ · 8 แถว</t>
        </is>
      </c>
    </row>
    <row r="111">
      <c r="B111" s="73" t="inlineStr">
        <is>
          <t>เก็บอะไร: การลงทะเบียนเรียนของนักศึกษาในรายวิชา          ·          กรอกจากแผ่นงาน: 5 รายชื่อนักศึกษา</t>
        </is>
      </c>
    </row>
    <row r="112" ht="24" customHeight="1">
      <c r="B112" s="74" t="inlineStr">
        <is>
          <t>id</t>
        </is>
      </c>
      <c r="C112" s="74" t="inlineStr">
        <is>
          <t>studentCode</t>
        </is>
      </c>
      <c r="D112" s="74" t="inlineStr">
        <is>
          <t>name</t>
        </is>
      </c>
      <c r="E112" s="74" t="inlineStr">
        <is>
          <t>courseId</t>
        </is>
      </c>
    </row>
    <row r="113" ht="22" customHeight="1">
      <c r="B113" s="75" t="inlineStr">
        <is>
          <t>VARCHAR(30)</t>
        </is>
      </c>
      <c r="C113" s="75" t="inlineStr">
        <is>
          <t>VARCHAR(50)</t>
        </is>
      </c>
      <c r="D113" s="75" t="inlineStr">
        <is>
          <t>VARCHAR(255)</t>
        </is>
      </c>
      <c r="E113" s="75" t="inlineStr">
        <is>
          <t>VARCHAR(30)</t>
        </is>
      </c>
    </row>
    <row r="114" ht="16" customHeight="1">
      <c r="B114" s="76" t="inlineStr">
        <is>
          <t>PK</t>
        </is>
      </c>
      <c r="C114" s="77" t="inlineStr">
        <is>
          <t>UQ</t>
        </is>
      </c>
      <c r="D114" s="78" t="inlineStr"/>
      <c r="E114" s="85" t="inlineStr">
        <is>
          <t>FK</t>
        </is>
      </c>
    </row>
    <row r="115">
      <c r="B115" s="79" t="inlineStr">
        <is>
          <t>std-01</t>
        </is>
      </c>
      <c r="C115" s="80" t="inlineStr">
        <is>
          <t>65010001</t>
        </is>
      </c>
      <c r="D115" s="80" t="inlineStr">
        <is>
          <t>นายกิตติพงษ์ แสงทอง</t>
        </is>
      </c>
      <c r="E115" s="80" t="inlineStr">
        <is>
          <t>crs-01</t>
        </is>
      </c>
    </row>
    <row r="116">
      <c r="B116" s="82" t="inlineStr">
        <is>
          <t>std-02</t>
        </is>
      </c>
      <c r="C116" s="83" t="inlineStr">
        <is>
          <t>65010002</t>
        </is>
      </c>
      <c r="D116" s="83" t="inlineStr">
        <is>
          <t>นางสาวจิราพร มีสุข</t>
        </is>
      </c>
      <c r="E116" s="83" t="inlineStr">
        <is>
          <t>crs-01</t>
        </is>
      </c>
    </row>
    <row r="117">
      <c r="B117" s="79" t="inlineStr">
        <is>
          <t>std-03</t>
        </is>
      </c>
      <c r="C117" s="80" t="inlineStr">
        <is>
          <t>65010003</t>
        </is>
      </c>
      <c r="D117" s="80" t="inlineStr">
        <is>
          <t>นายธนกร ศรีสุข</t>
        </is>
      </c>
      <c r="E117" s="80" t="inlineStr">
        <is>
          <t>crs-01</t>
        </is>
      </c>
    </row>
    <row r="118">
      <c r="B118" s="82" t="inlineStr">
        <is>
          <t>std-04</t>
        </is>
      </c>
      <c r="C118" s="83" t="inlineStr">
        <is>
          <t>65010004</t>
        </is>
      </c>
      <c r="D118" s="83" t="inlineStr">
        <is>
          <t>นางสาวปาริชาติ วงศ์ดี</t>
        </is>
      </c>
      <c r="E118" s="83" t="inlineStr">
        <is>
          <t>crs-01</t>
        </is>
      </c>
    </row>
    <row r="119">
      <c r="B119" s="79" t="inlineStr">
        <is>
          <t>std-05</t>
        </is>
      </c>
      <c r="C119" s="80" t="inlineStr">
        <is>
          <t>65010005</t>
        </is>
      </c>
      <c r="D119" s="80" t="inlineStr">
        <is>
          <t>นายภานุวัฒน์ ทองสุข</t>
        </is>
      </c>
      <c r="E119" s="80" t="inlineStr">
        <is>
          <t>crs-01</t>
        </is>
      </c>
    </row>
    <row r="120">
      <c r="B120" s="82" t="inlineStr">
        <is>
          <t>std-06</t>
        </is>
      </c>
      <c r="C120" s="83" t="inlineStr">
        <is>
          <t>65010006</t>
        </is>
      </c>
      <c r="D120" s="83" t="inlineStr">
        <is>
          <t>นางสาวรัตนาภรณ์ ใจงาม</t>
        </is>
      </c>
      <c r="E120" s="83" t="inlineStr">
        <is>
          <t>crs-01</t>
        </is>
      </c>
    </row>
    <row r="121">
      <c r="B121" s="79" t="inlineStr">
        <is>
          <t>std-07</t>
        </is>
      </c>
      <c r="C121" s="80" t="inlineStr">
        <is>
          <t>65010007</t>
        </is>
      </c>
      <c r="D121" s="80" t="inlineStr">
        <is>
          <t>นายวรวุฒิ ชัยมงคล</t>
        </is>
      </c>
      <c r="E121" s="80" t="inlineStr">
        <is>
          <t>crs-01</t>
        </is>
      </c>
    </row>
    <row r="122">
      <c r="B122" s="82" t="inlineStr">
        <is>
          <t>std-08</t>
        </is>
      </c>
      <c r="C122" s="83" t="inlineStr">
        <is>
          <t>65010008</t>
        </is>
      </c>
      <c r="D122" s="83" t="inlineStr">
        <is>
          <t>นางสาวศิริพร แก้วมณี</t>
        </is>
      </c>
      <c r="E122" s="83" t="inlineStr">
        <is>
          <t>crs-01</t>
        </is>
      </c>
    </row>
    <row r="123" ht="30" customHeight="1">
      <c r="B123" s="14" t="inlineStr">
        <is>
          <t>หนึ่งแถวคือการลงทะเบียนหนึ่งครั้ง ไม่ใช่ตัวบุคคล — นักศึกษาคนเดียวที่ลงเรียนสามรายวิชาจะมีสามแถว และชื่อจะซ้ำกัน ซึ่งเป็นการออกแบบที่ตั้งใจ  ·  studentCode ห้ามซ้ำภายในรายวิชาเดียวกัน แต่ซ้ำข้ามรายวิชาได้</t>
        </is>
      </c>
    </row>
    <row r="126" ht="22" customHeight="1">
      <c r="B126" s="72" t="inlineStr">
        <is>
          <t>Score   —   5 คอลัมน์ · 34 แถว</t>
        </is>
      </c>
    </row>
    <row r="127">
      <c r="B127" s="73" t="inlineStr">
        <is>
          <t>เก็บอะไร: คะแนนดิบรายคน รายกิจกรรม          ·          กรอกจากแผ่นงาน: 6 กรอกคะแนน</t>
        </is>
      </c>
    </row>
    <row r="128" ht="24" customHeight="1">
      <c r="B128" s="74" t="inlineStr">
        <is>
          <t>id</t>
        </is>
      </c>
      <c r="C128" s="74" t="inlineStr">
        <is>
          <t>studentId</t>
        </is>
      </c>
      <c r="D128" s="74" t="inlineStr">
        <is>
          <t>activityId</t>
        </is>
      </c>
      <c r="E128" s="74" t="inlineStr">
        <is>
          <t>score</t>
        </is>
      </c>
      <c r="F128" s="74" t="inlineStr">
        <is>
          <t>uploadedAt</t>
        </is>
      </c>
    </row>
    <row r="129" ht="22" customHeight="1">
      <c r="B129" s="75" t="inlineStr">
        <is>
          <t>VARCHAR(30)</t>
        </is>
      </c>
      <c r="C129" s="75" t="inlineStr">
        <is>
          <t>VARCHAR(30)</t>
        </is>
      </c>
      <c r="D129" s="75" t="inlineStr">
        <is>
          <t>VARCHAR(30)</t>
        </is>
      </c>
      <c r="E129" s="75" t="inlineStr">
        <is>
          <t>DOUBLE</t>
        </is>
      </c>
      <c r="F129" s="75" t="inlineStr">
        <is>
          <t>DATETIME(3)</t>
        </is>
      </c>
    </row>
    <row r="130" ht="16" customHeight="1">
      <c r="B130" s="76" t="inlineStr">
        <is>
          <t>PK</t>
        </is>
      </c>
      <c r="C130" s="85" t="inlineStr">
        <is>
          <t>FK</t>
        </is>
      </c>
      <c r="D130" s="85" t="inlineStr">
        <is>
          <t>FK</t>
        </is>
      </c>
      <c r="E130" s="78" t="inlineStr"/>
      <c r="F130" s="78" t="inlineStr"/>
    </row>
    <row r="131">
      <c r="B131" s="79" t="inlineStr">
        <is>
          <t>sc-01</t>
        </is>
      </c>
      <c r="C131" s="80" t="inlineStr">
        <is>
          <t>std-01</t>
        </is>
      </c>
      <c r="D131" s="80" t="inlineStr">
        <is>
          <t>act-01</t>
        </is>
      </c>
      <c r="E131" s="81" t="n">
        <v>18</v>
      </c>
      <c r="F131" s="80" t="inlineStr">
        <is>
          <t>2025-07-08 16:00:00</t>
        </is>
      </c>
    </row>
    <row r="132">
      <c r="B132" s="82" t="inlineStr">
        <is>
          <t>sc-02</t>
        </is>
      </c>
      <c r="C132" s="83" t="inlineStr">
        <is>
          <t>std-01</t>
        </is>
      </c>
      <c r="D132" s="83" t="inlineStr">
        <is>
          <t>act-02</t>
        </is>
      </c>
      <c r="E132" s="84" t="n">
        <v>85</v>
      </c>
      <c r="F132" s="83" t="inlineStr">
        <is>
          <t>2025-08-01 14:20:00</t>
        </is>
      </c>
    </row>
    <row r="133">
      <c r="B133" s="79" t="inlineStr">
        <is>
          <t>sc-03</t>
        </is>
      </c>
      <c r="C133" s="80" t="inlineStr">
        <is>
          <t>std-01</t>
        </is>
      </c>
      <c r="D133" s="80" t="inlineStr">
        <is>
          <t>act-03</t>
        </is>
      </c>
      <c r="E133" s="81" t="n">
        <v>45</v>
      </c>
      <c r="F133" s="80" t="inlineStr">
        <is>
          <t>2025-08-15 09:05:00</t>
        </is>
      </c>
    </row>
    <row r="134">
      <c r="B134" s="82" t="inlineStr">
        <is>
          <t>sc-04</t>
        </is>
      </c>
      <c r="C134" s="83" t="inlineStr">
        <is>
          <t>std-01</t>
        </is>
      </c>
      <c r="D134" s="83" t="inlineStr">
        <is>
          <t>act-04</t>
        </is>
      </c>
      <c r="E134" s="84" t="n">
        <v>88</v>
      </c>
      <c r="F134" s="83" t="inlineStr">
        <is>
          <t>2025-09-20 11:30:00</t>
        </is>
      </c>
    </row>
    <row r="135">
      <c r="B135" s="79" t="inlineStr">
        <is>
          <t>sc-05</t>
        </is>
      </c>
      <c r="C135" s="80" t="inlineStr">
        <is>
          <t>std-01</t>
        </is>
      </c>
      <c r="D135" s="80" t="inlineStr">
        <is>
          <t>act-05</t>
        </is>
      </c>
      <c r="E135" s="81" t="n">
        <v>82</v>
      </c>
      <c r="F135" s="80" t="inlineStr">
        <is>
          <t>2025-10-05 15:45:00</t>
        </is>
      </c>
    </row>
    <row r="136">
      <c r="B136" s="82" t="inlineStr">
        <is>
          <t>sc-06</t>
        </is>
      </c>
      <c r="C136" s="83" t="inlineStr">
        <is>
          <t>std-02</t>
        </is>
      </c>
      <c r="D136" s="83" t="inlineStr">
        <is>
          <t>act-01</t>
        </is>
      </c>
      <c r="E136" s="84" t="n">
        <v>15</v>
      </c>
      <c r="F136" s="83" t="inlineStr">
        <is>
          <t>2025-07-08 16:00:00</t>
        </is>
      </c>
    </row>
    <row r="137">
      <c r="B137" s="79" t="inlineStr">
        <is>
          <t>sc-07</t>
        </is>
      </c>
      <c r="C137" s="80" t="inlineStr">
        <is>
          <t>std-02</t>
        </is>
      </c>
      <c r="D137" s="80" t="inlineStr">
        <is>
          <t>act-02</t>
        </is>
      </c>
      <c r="E137" s="81" t="n">
        <v>70</v>
      </c>
      <c r="F137" s="80" t="inlineStr">
        <is>
          <t>2025-08-01 14:20:00</t>
        </is>
      </c>
    </row>
    <row r="138">
      <c r="B138" s="82" t="inlineStr">
        <is>
          <t>sc-08</t>
        </is>
      </c>
      <c r="C138" s="83" t="inlineStr">
        <is>
          <t>std-02</t>
        </is>
      </c>
      <c r="D138" s="83" t="inlineStr">
        <is>
          <t>act-03</t>
        </is>
      </c>
      <c r="E138" s="84" t="n">
        <v>38</v>
      </c>
      <c r="F138" s="83" t="inlineStr">
        <is>
          <t>2025-08-15 09:05:00</t>
        </is>
      </c>
    </row>
    <row r="139">
      <c r="B139" s="79" t="inlineStr">
        <is>
          <t>sc-09</t>
        </is>
      </c>
      <c r="C139" s="80" t="inlineStr">
        <is>
          <t>std-02</t>
        </is>
      </c>
      <c r="D139" s="80" t="inlineStr">
        <is>
          <t>act-04</t>
        </is>
      </c>
      <c r="E139" s="81" t="n">
        <v>75</v>
      </c>
      <c r="F139" s="80" t="inlineStr">
        <is>
          <t>2025-09-20 11:30:00</t>
        </is>
      </c>
    </row>
    <row r="140">
      <c r="B140" s="82" t="inlineStr">
        <is>
          <t>sc-10</t>
        </is>
      </c>
      <c r="C140" s="83" t="inlineStr">
        <is>
          <t>std-02</t>
        </is>
      </c>
      <c r="D140" s="83" t="inlineStr">
        <is>
          <t>act-05</t>
        </is>
      </c>
      <c r="E140" s="84" t="n">
        <v>68</v>
      </c>
      <c r="F140" s="83" t="inlineStr">
        <is>
          <t>2025-10-05 15:45:00</t>
        </is>
      </c>
    </row>
    <row r="141">
      <c r="B141" s="79" t="inlineStr">
        <is>
          <t>sc-11</t>
        </is>
      </c>
      <c r="C141" s="80" t="inlineStr">
        <is>
          <t>std-03</t>
        </is>
      </c>
      <c r="D141" s="80" t="inlineStr">
        <is>
          <t>act-01</t>
        </is>
      </c>
      <c r="E141" s="81" t="n">
        <v>12</v>
      </c>
      <c r="F141" s="80" t="inlineStr">
        <is>
          <t>2025-07-08 16:00:00</t>
        </is>
      </c>
    </row>
    <row r="142">
      <c r="B142" s="82" t="inlineStr">
        <is>
          <t>sc-12</t>
        </is>
      </c>
      <c r="C142" s="83" t="inlineStr">
        <is>
          <t>std-03</t>
        </is>
      </c>
      <c r="D142" s="83" t="inlineStr">
        <is>
          <t>act-02</t>
        </is>
      </c>
      <c r="E142" s="84" t="n">
        <v>55</v>
      </c>
      <c r="F142" s="83" t="inlineStr">
        <is>
          <t>2025-08-01 14:20:00</t>
        </is>
      </c>
    </row>
    <row r="143">
      <c r="B143" s="79" t="inlineStr">
        <is>
          <t>sc-13</t>
        </is>
      </c>
      <c r="C143" s="80" t="inlineStr">
        <is>
          <t>std-03</t>
        </is>
      </c>
      <c r="D143" s="80" t="inlineStr">
        <is>
          <t>act-03</t>
        </is>
      </c>
      <c r="E143" s="81" t="n">
        <v>30</v>
      </c>
      <c r="F143" s="80" t="inlineStr">
        <is>
          <t>2025-08-15 09:05:00</t>
        </is>
      </c>
    </row>
    <row r="144">
      <c r="B144" s="82" t="inlineStr">
        <is>
          <t>sc-14</t>
        </is>
      </c>
      <c r="C144" s="83" t="inlineStr">
        <is>
          <t>std-03</t>
        </is>
      </c>
      <c r="D144" s="83" t="inlineStr">
        <is>
          <t>act-04</t>
        </is>
      </c>
      <c r="E144" s="84" t="n">
        <v>62</v>
      </c>
      <c r="F144" s="83" t="inlineStr">
        <is>
          <t>2025-09-20 11:30:00</t>
        </is>
      </c>
    </row>
    <row r="145">
      <c r="B145" s="79" t="inlineStr">
        <is>
          <t>sc-15</t>
        </is>
      </c>
      <c r="C145" s="80" t="inlineStr">
        <is>
          <t>std-03</t>
        </is>
      </c>
      <c r="D145" s="80" t="inlineStr">
        <is>
          <t>act-05</t>
        </is>
      </c>
      <c r="E145" s="81" t="n">
        <v>58</v>
      </c>
      <c r="F145" s="80" t="inlineStr">
        <is>
          <t>2025-10-05 15:45:00</t>
        </is>
      </c>
    </row>
    <row r="146">
      <c r="B146" s="82" t="inlineStr">
        <is>
          <t>sc-16</t>
        </is>
      </c>
      <c r="C146" s="83" t="inlineStr">
        <is>
          <t>std-04</t>
        </is>
      </c>
      <c r="D146" s="83" t="inlineStr">
        <is>
          <t>act-01</t>
        </is>
      </c>
      <c r="E146" s="84" t="n">
        <v>8</v>
      </c>
      <c r="F146" s="83" t="inlineStr">
        <is>
          <t>2025-07-08 16:00:00</t>
        </is>
      </c>
    </row>
    <row r="147">
      <c r="B147" s="79" t="inlineStr">
        <is>
          <t>sc-17</t>
        </is>
      </c>
      <c r="C147" s="80" t="inlineStr">
        <is>
          <t>std-04</t>
        </is>
      </c>
      <c r="D147" s="80" t="inlineStr">
        <is>
          <t>act-02</t>
        </is>
      </c>
      <c r="E147" s="81" t="n">
        <v>42</v>
      </c>
      <c r="F147" s="80" t="inlineStr">
        <is>
          <t>2025-08-01 14:20:00</t>
        </is>
      </c>
    </row>
    <row r="148">
      <c r="B148" s="82" t="inlineStr">
        <is>
          <t>sc-18</t>
        </is>
      </c>
      <c r="C148" s="83" t="inlineStr">
        <is>
          <t>std-04</t>
        </is>
      </c>
      <c r="D148" s="83" t="inlineStr">
        <is>
          <t>act-03</t>
        </is>
      </c>
      <c r="E148" s="84" t="n">
        <v>22</v>
      </c>
      <c r="F148" s="83" t="inlineStr">
        <is>
          <t>2025-08-15 09:05:00</t>
        </is>
      </c>
    </row>
    <row r="149">
      <c r="B149" s="79" t="inlineStr">
        <is>
          <t>sc-19</t>
        </is>
      </c>
      <c r="C149" s="80" t="inlineStr">
        <is>
          <t>std-04</t>
        </is>
      </c>
      <c r="D149" s="80" t="inlineStr">
        <is>
          <t>act-04</t>
        </is>
      </c>
      <c r="E149" s="81" t="n">
        <v>55</v>
      </c>
      <c r="F149" s="80" t="inlineStr">
        <is>
          <t>2025-09-20 11:30:00</t>
        </is>
      </c>
    </row>
    <row r="150">
      <c r="B150" s="82" t="inlineStr">
        <is>
          <t>sc-20</t>
        </is>
      </c>
      <c r="C150" s="83" t="inlineStr">
        <is>
          <t>std-04</t>
        </is>
      </c>
      <c r="D150" s="83" t="inlineStr">
        <is>
          <t>act-05</t>
        </is>
      </c>
      <c r="E150" s="84" t="n">
        <v>40</v>
      </c>
      <c r="F150" s="83" t="inlineStr">
        <is>
          <t>2025-10-05 15:45:00</t>
        </is>
      </c>
    </row>
    <row r="151">
      <c r="B151" s="79" t="inlineStr">
        <is>
          <t>sc-21</t>
        </is>
      </c>
      <c r="C151" s="80" t="inlineStr">
        <is>
          <t>std-05</t>
        </is>
      </c>
      <c r="D151" s="80" t="inlineStr">
        <is>
          <t>act-01</t>
        </is>
      </c>
      <c r="E151" s="81" t="n">
        <v>20</v>
      </c>
      <c r="F151" s="80" t="inlineStr">
        <is>
          <t>2025-07-08 16:00:00</t>
        </is>
      </c>
    </row>
    <row r="152">
      <c r="B152" s="82" t="inlineStr">
        <is>
          <t>sc-22</t>
        </is>
      </c>
      <c r="C152" s="83" t="inlineStr">
        <is>
          <t>std-05</t>
        </is>
      </c>
      <c r="D152" s="83" t="inlineStr">
        <is>
          <t>act-02</t>
        </is>
      </c>
      <c r="E152" s="84" t="n">
        <v>92</v>
      </c>
      <c r="F152" s="83" t="inlineStr">
        <is>
          <t>2025-08-01 14:20:00</t>
        </is>
      </c>
    </row>
    <row r="153">
      <c r="B153" s="79" t="inlineStr">
        <is>
          <t>sc-23</t>
        </is>
      </c>
      <c r="C153" s="80" t="inlineStr">
        <is>
          <t>std-05</t>
        </is>
      </c>
      <c r="D153" s="80" t="inlineStr">
        <is>
          <t>act-03</t>
        </is>
      </c>
      <c r="E153" s="81" t="n">
        <v>48</v>
      </c>
      <c r="F153" s="80" t="inlineStr">
        <is>
          <t>2025-08-15 09:05:00</t>
        </is>
      </c>
    </row>
    <row r="154">
      <c r="B154" s="82" t="inlineStr">
        <is>
          <t>sc-24</t>
        </is>
      </c>
      <c r="C154" s="83" t="inlineStr">
        <is>
          <t>std-05</t>
        </is>
      </c>
      <c r="D154" s="83" t="inlineStr">
        <is>
          <t>act-04</t>
        </is>
      </c>
      <c r="E154" s="84" t="n">
        <v>95</v>
      </c>
      <c r="F154" s="83" t="inlineStr">
        <is>
          <t>2025-09-20 11:30:00</t>
        </is>
      </c>
    </row>
    <row r="155">
      <c r="B155" s="79" t="inlineStr">
        <is>
          <t>sc-25</t>
        </is>
      </c>
      <c r="C155" s="80" t="inlineStr">
        <is>
          <t>std-05</t>
        </is>
      </c>
      <c r="D155" s="80" t="inlineStr">
        <is>
          <t>act-05</t>
        </is>
      </c>
      <c r="E155" s="81" t="n">
        <v>90</v>
      </c>
      <c r="F155" s="80" t="inlineStr">
        <is>
          <t>2025-10-05 15:45:00</t>
        </is>
      </c>
    </row>
    <row r="156">
      <c r="B156" s="82" t="inlineStr">
        <is>
          <t>sc-26</t>
        </is>
      </c>
      <c r="C156" s="83" t="inlineStr">
        <is>
          <t>std-06</t>
        </is>
      </c>
      <c r="D156" s="83" t="inlineStr">
        <is>
          <t>act-01</t>
        </is>
      </c>
      <c r="E156" s="84" t="n">
        <v>14</v>
      </c>
      <c r="F156" s="83" t="inlineStr">
        <is>
          <t>2025-07-08 16:00:00</t>
        </is>
      </c>
    </row>
    <row r="157">
      <c r="B157" s="79" t="inlineStr">
        <is>
          <t>sc-27</t>
        </is>
      </c>
      <c r="C157" s="80" t="inlineStr">
        <is>
          <t>std-06</t>
        </is>
      </c>
      <c r="D157" s="80" t="inlineStr">
        <is>
          <t>act-02</t>
        </is>
      </c>
      <c r="E157" s="81" t="n">
        <v>65</v>
      </c>
      <c r="F157" s="80" t="inlineStr">
        <is>
          <t>2025-08-01 14:20:00</t>
        </is>
      </c>
    </row>
    <row r="158">
      <c r="B158" s="82" t="inlineStr">
        <is>
          <t>sc-28</t>
        </is>
      </c>
      <c r="C158" s="83" t="inlineStr">
        <is>
          <t>std-06</t>
        </is>
      </c>
      <c r="D158" s="83" t="inlineStr">
        <is>
          <t>act-04</t>
        </is>
      </c>
      <c r="E158" s="84" t="n">
        <v>70</v>
      </c>
      <c r="F158" s="83" t="inlineStr">
        <is>
          <t>2025-09-20 11:30:00</t>
        </is>
      </c>
    </row>
    <row r="159">
      <c r="B159" s="79" t="inlineStr">
        <is>
          <t>sc-29</t>
        </is>
      </c>
      <c r="C159" s="80" t="inlineStr">
        <is>
          <t>std-06</t>
        </is>
      </c>
      <c r="D159" s="80" t="inlineStr">
        <is>
          <t>act-05</t>
        </is>
      </c>
      <c r="E159" s="81" t="n">
        <v>60</v>
      </c>
      <c r="F159" s="80" t="inlineStr">
        <is>
          <t>2025-10-05 15:45:00</t>
        </is>
      </c>
    </row>
    <row r="160">
      <c r="B160" s="82" t="inlineStr">
        <is>
          <t>sc-30</t>
        </is>
      </c>
      <c r="C160" s="83" t="inlineStr">
        <is>
          <t>std-07</t>
        </is>
      </c>
      <c r="D160" s="83" t="inlineStr">
        <is>
          <t>act-01</t>
        </is>
      </c>
      <c r="E160" s="84" t="n">
        <v>0</v>
      </c>
      <c r="F160" s="83" t="inlineStr">
        <is>
          <t>2025-07-08 16:00:00</t>
        </is>
      </c>
    </row>
    <row r="161">
      <c r="B161" s="79" t="inlineStr">
        <is>
          <t>sc-31</t>
        </is>
      </c>
      <c r="C161" s="80" t="inlineStr">
        <is>
          <t>std-07</t>
        </is>
      </c>
      <c r="D161" s="80" t="inlineStr">
        <is>
          <t>act-02</t>
        </is>
      </c>
      <c r="E161" s="81" t="n">
        <v>38</v>
      </c>
      <c r="F161" s="80" t="inlineStr">
        <is>
          <t>2025-08-01 14:20:00</t>
        </is>
      </c>
    </row>
    <row r="162">
      <c r="B162" s="82" t="inlineStr">
        <is>
          <t>sc-32</t>
        </is>
      </c>
      <c r="C162" s="83" t="inlineStr">
        <is>
          <t>std-07</t>
        </is>
      </c>
      <c r="D162" s="83" t="inlineStr">
        <is>
          <t>act-03</t>
        </is>
      </c>
      <c r="E162" s="84" t="n">
        <v>20</v>
      </c>
      <c r="F162" s="83" t="inlineStr">
        <is>
          <t>2025-08-15 09:05:00</t>
        </is>
      </c>
    </row>
    <row r="163">
      <c r="B163" s="79" t="inlineStr">
        <is>
          <t>sc-33</t>
        </is>
      </c>
      <c r="C163" s="80" t="inlineStr">
        <is>
          <t>std-07</t>
        </is>
      </c>
      <c r="D163" s="80" t="inlineStr">
        <is>
          <t>act-04</t>
        </is>
      </c>
      <c r="E163" s="81" t="n">
        <v>50</v>
      </c>
      <c r="F163" s="80" t="inlineStr">
        <is>
          <t>2025-09-20 11:30:00</t>
        </is>
      </c>
    </row>
    <row r="164">
      <c r="B164" s="82" t="inlineStr">
        <is>
          <t>sc-34</t>
        </is>
      </c>
      <c r="C164" s="83" t="inlineStr">
        <is>
          <t>std-07</t>
        </is>
      </c>
      <c r="D164" s="83" t="inlineStr">
        <is>
          <t>act-05</t>
        </is>
      </c>
      <c r="E164" s="84" t="n">
        <v>35</v>
      </c>
      <c r="F164" s="83" t="inlineStr">
        <is>
          <t>2025-10-05 15:45:00</t>
        </is>
      </c>
    </row>
    <row r="165" ht="30" customHeight="1">
      <c r="B165" s="14" t="inlineStr">
        <is>
          <t>ตารางนี้เก็บเฉพาะคะแนนที่ประเมินแล้ว 34 แถว จากช่องทั้งหมด 40 ช่อง — อีก 6 ช่องไม่มีแถวอยู่เลย เพราะ 'ยังไม่ประเมิน' แสดงด้วยการไม่มีแถว ไม่ใช่การเก็บค่า 0 นี่คือจุดที่ทำให้ระบบแยกแยะได้ว่านักศึกษาได้ 0 จริง กับยังไม่ถูกประเมิน</t>
        </is>
      </c>
    </row>
    <row r="168" ht="22" customHeight="1">
      <c r="B168" s="72" t="inlineStr">
        <is>
          <t>ScoreUploadLog   —   7 คอลัมน์ · 2 แถว</t>
        </is>
      </c>
    </row>
    <row r="169">
      <c r="B169" s="73" t="inlineStr">
        <is>
          <t>เก็บอะไร: ประวัติการนำเข้าไฟล์คะแนน          ·          กรอกจากแผ่นงาน: เกิดอัตโนมัติเมื่ออัปโหลดไฟล์</t>
        </is>
      </c>
    </row>
    <row r="170" ht="24" customHeight="1">
      <c r="B170" s="74" t="inlineStr">
        <is>
          <t>id</t>
        </is>
      </c>
      <c r="C170" s="74" t="inlineStr">
        <is>
          <t>courseId</t>
        </is>
      </c>
      <c r="D170" s="74" t="inlineStr">
        <is>
          <t>uploadedBy</t>
        </is>
      </c>
      <c r="E170" s="74" t="inlineStr">
        <is>
          <t>fileName</t>
        </is>
      </c>
      <c r="F170" s="74" t="inlineStr">
        <is>
          <t>recordsOk</t>
        </is>
      </c>
      <c r="G170" s="74" t="inlineStr">
        <is>
          <t>recordsFail</t>
        </is>
      </c>
      <c r="H170" s="74" t="inlineStr">
        <is>
          <t>createdAt</t>
        </is>
      </c>
    </row>
    <row r="171" ht="22" customHeight="1">
      <c r="B171" s="75" t="inlineStr">
        <is>
          <t>VARCHAR(30)</t>
        </is>
      </c>
      <c r="C171" s="75" t="inlineStr">
        <is>
          <t>VARCHAR(30)</t>
        </is>
      </c>
      <c r="D171" s="75" t="inlineStr">
        <is>
          <t>VARCHAR(30)</t>
        </is>
      </c>
      <c r="E171" s="75" t="inlineStr">
        <is>
          <t>VARCHAR(255)</t>
        </is>
      </c>
      <c r="F171" s="75" t="inlineStr">
        <is>
          <t>INT</t>
        </is>
      </c>
      <c r="G171" s="75" t="inlineStr">
        <is>
          <t>INT</t>
        </is>
      </c>
      <c r="H171" s="75" t="inlineStr">
        <is>
          <t>DATETIME(3)</t>
        </is>
      </c>
    </row>
    <row r="172" ht="16" customHeight="1">
      <c r="B172" s="76" t="inlineStr">
        <is>
          <t>PK</t>
        </is>
      </c>
      <c r="C172" s="85" t="inlineStr">
        <is>
          <t>FK</t>
        </is>
      </c>
      <c r="D172" s="85" t="inlineStr">
        <is>
          <t>FK</t>
        </is>
      </c>
      <c r="E172" s="78" t="inlineStr"/>
      <c r="F172" s="78" t="inlineStr"/>
      <c r="G172" s="78" t="inlineStr"/>
      <c r="H172" s="78" t="inlineStr"/>
    </row>
    <row r="173">
      <c r="B173" s="79" t="inlineStr">
        <is>
          <t>log-01</t>
        </is>
      </c>
      <c r="C173" s="80" t="inlineStr">
        <is>
          <t>crs-01</t>
        </is>
      </c>
      <c r="D173" s="80" t="inlineStr">
        <is>
          <t>usr-02</t>
        </is>
      </c>
      <c r="E173" s="80" t="inlineStr">
        <is>
          <t>scores_midterm_03376120.xlsx</t>
        </is>
      </c>
      <c r="F173" s="81" t="n">
        <v>7</v>
      </c>
      <c r="G173" s="81" t="n">
        <v>1</v>
      </c>
      <c r="H173" s="80" t="inlineStr">
        <is>
          <t>2025-08-01 14:20:00</t>
        </is>
      </c>
    </row>
    <row r="174">
      <c r="B174" s="82" t="inlineStr">
        <is>
          <t>log-02</t>
        </is>
      </c>
      <c r="C174" s="83" t="inlineStr">
        <is>
          <t>crs-01</t>
        </is>
      </c>
      <c r="D174" s="83" t="inlineStr">
        <is>
          <t>usr-02</t>
        </is>
      </c>
      <c r="E174" s="83" t="inlineStr">
        <is>
          <t>scores_lab_sql_03376120.xlsx</t>
        </is>
      </c>
      <c r="F174" s="84" t="n">
        <v>6</v>
      </c>
      <c r="G174" s="84" t="n">
        <v>0</v>
      </c>
      <c r="H174" s="83" t="inlineStr">
        <is>
          <t>2025-08-15 09:05:00</t>
        </is>
      </c>
    </row>
    <row r="175" ht="30" customHeight="1">
      <c r="B175" s="14" t="inlineStr">
        <is>
          <t>บันทึกทุกครั้งที่อัปโหลด แม้ไฟล์จะผิดทั้งไฟล์ ใช้ตรวจสอบย้อนหลังว่าใครนำเข้าคะแนนชุดใดเมื่อใด  ·  ตารางนี้ไม่ได้ผูกกับตาราง Score โดยตรง เป็นเพียงบันทึกเหตุการณ์</t>
        </is>
      </c>
    </row>
    <row r="179" ht="22" customHeight="1">
      <c r="B179" s="87" t="inlineStr">
        <is>
          <t>กลุ่มตารางการตัดเกรด — เพิ่มใน v4</t>
        </is>
      </c>
    </row>
    <row r="181" ht="22" customHeight="1">
      <c r="B181" s="72" t="inlineStr">
        <is>
          <t>GradeBand   —   4 คอลัมน์ · 8 แถว</t>
        </is>
      </c>
    </row>
    <row r="182">
      <c r="B182" s="73" t="inlineStr">
        <is>
          <t>เก็บอะไร: ช่วงเกรดของรายวิชา เช่น A ต้องได้ตั้งแต่ 80 ขึ้นไป          ·          กรอกจากแผ่นงาน: 8 ตัดเกรด</t>
        </is>
      </c>
    </row>
    <row r="183" ht="24" customHeight="1">
      <c r="B183" s="74" t="inlineStr">
        <is>
          <t>id</t>
        </is>
      </c>
      <c r="C183" s="74" t="inlineStr">
        <is>
          <t>courseId</t>
        </is>
      </c>
      <c r="D183" s="74" t="inlineStr">
        <is>
          <t>grade</t>
        </is>
      </c>
      <c r="E183" s="74" t="inlineStr">
        <is>
          <t>minValue</t>
        </is>
      </c>
    </row>
    <row r="184" ht="22" customHeight="1">
      <c r="B184" s="75" t="inlineStr">
        <is>
          <t>VARCHAR(30)</t>
        </is>
      </c>
      <c r="C184" s="75" t="inlineStr">
        <is>
          <t>VARCHAR(30)</t>
        </is>
      </c>
      <c r="D184" s="75" t="inlineStr">
        <is>
          <t>VARCHAR(5)</t>
        </is>
      </c>
      <c r="E184" s="75" t="inlineStr">
        <is>
          <t>DOUBLE</t>
        </is>
      </c>
    </row>
    <row r="185" ht="16" customHeight="1">
      <c r="B185" s="76" t="inlineStr">
        <is>
          <t>PK</t>
        </is>
      </c>
      <c r="C185" s="85" t="inlineStr">
        <is>
          <t>FK</t>
        </is>
      </c>
      <c r="D185" s="77" t="inlineStr">
        <is>
          <t>UQ</t>
        </is>
      </c>
      <c r="E185" s="77" t="inlineStr">
        <is>
          <t>UQ</t>
        </is>
      </c>
    </row>
    <row r="186">
      <c r="B186" s="79" t="inlineStr">
        <is>
          <t>gb-01</t>
        </is>
      </c>
      <c r="C186" s="80" t="inlineStr">
        <is>
          <t>crs-01</t>
        </is>
      </c>
      <c r="D186" s="80" t="inlineStr">
        <is>
          <t>A</t>
        </is>
      </c>
      <c r="E186" s="81" t="n">
        <v>80</v>
      </c>
    </row>
    <row r="187">
      <c r="B187" s="82" t="inlineStr">
        <is>
          <t>gb-02</t>
        </is>
      </c>
      <c r="C187" s="83" t="inlineStr">
        <is>
          <t>crs-01</t>
        </is>
      </c>
      <c r="D187" s="83" t="inlineStr">
        <is>
          <t>B+</t>
        </is>
      </c>
      <c r="E187" s="84" t="n">
        <v>75</v>
      </c>
    </row>
    <row r="188">
      <c r="B188" s="79" t="inlineStr">
        <is>
          <t>gb-03</t>
        </is>
      </c>
      <c r="C188" s="80" t="inlineStr">
        <is>
          <t>crs-01</t>
        </is>
      </c>
      <c r="D188" s="80" t="inlineStr">
        <is>
          <t>B</t>
        </is>
      </c>
      <c r="E188" s="81" t="n">
        <v>70</v>
      </c>
    </row>
    <row r="189">
      <c r="B189" s="82" t="inlineStr">
        <is>
          <t>gb-04</t>
        </is>
      </c>
      <c r="C189" s="83" t="inlineStr">
        <is>
          <t>crs-01</t>
        </is>
      </c>
      <c r="D189" s="83" t="inlineStr">
        <is>
          <t>C+</t>
        </is>
      </c>
      <c r="E189" s="84" t="n">
        <v>65</v>
      </c>
    </row>
    <row r="190">
      <c r="B190" s="79" t="inlineStr">
        <is>
          <t>gb-05</t>
        </is>
      </c>
      <c r="C190" s="80" t="inlineStr">
        <is>
          <t>crs-01</t>
        </is>
      </c>
      <c r="D190" s="80" t="inlineStr">
        <is>
          <t>C</t>
        </is>
      </c>
      <c r="E190" s="81" t="n">
        <v>60</v>
      </c>
    </row>
    <row r="191">
      <c r="B191" s="82" t="inlineStr">
        <is>
          <t>gb-06</t>
        </is>
      </c>
      <c r="C191" s="83" t="inlineStr">
        <is>
          <t>crs-01</t>
        </is>
      </c>
      <c r="D191" s="83" t="inlineStr">
        <is>
          <t>D+</t>
        </is>
      </c>
      <c r="E191" s="84" t="n">
        <v>55</v>
      </c>
    </row>
    <row r="192">
      <c r="B192" s="79" t="inlineStr">
        <is>
          <t>gb-07</t>
        </is>
      </c>
      <c r="C192" s="80" t="inlineStr">
        <is>
          <t>crs-01</t>
        </is>
      </c>
      <c r="D192" s="80" t="inlineStr">
        <is>
          <t>D</t>
        </is>
      </c>
      <c r="E192" s="81" t="n">
        <v>50</v>
      </c>
    </row>
    <row r="193">
      <c r="B193" s="82" t="inlineStr">
        <is>
          <t>gb-08</t>
        </is>
      </c>
      <c r="C193" s="83" t="inlineStr">
        <is>
          <t>crs-01</t>
        </is>
      </c>
      <c r="D193" s="83" t="inlineStr">
        <is>
          <t>F</t>
        </is>
      </c>
      <c r="E193" s="84" t="n">
        <v>0</v>
      </c>
    </row>
    <row r="194" ht="30" customHeight="1">
      <c r="B194" s="14" t="inlineStr">
        <is>
          <t>แยกเป็นตารางแทนที่จะเก็บรวมเป็นข้อความก้อนเดียว เพราะฐานข้อมูลต้องบังคับได้ว่าเกรดห้ามซ้ำ และสองเกรดห้ามใช้เส้นแบ่งเดียวกัน  ·  ไม่มีคอลัมน์ลำดับและไม่มีคอลัมน์บอกหน่วย เพราะลำดับอ่านจาก minValue ได้ และหน่วยตามมาจาก Course.gradeMethod ว่าอิงเกณฑ์หรืออิงกลุ่ม</t>
        </is>
      </c>
    </row>
    <row r="197" ht="22" customHeight="1">
      <c r="B197" s="72" t="inlineStr">
        <is>
          <t>StudentGrade   —   5 คอลัมน์ · 6 แถว</t>
        </is>
      </c>
    </row>
    <row r="198">
      <c r="B198" s="73" t="inlineStr">
        <is>
          <t>เก็บอะไร: เกรดสุดท้ายของนักศึกษาแต่ละคน          ·          กรอกจากแผ่นงาน: 8 ตัดเกรด</t>
        </is>
      </c>
    </row>
    <row r="199" ht="24" customHeight="1">
      <c r="B199" s="74" t="inlineStr">
        <is>
          <t>id</t>
        </is>
      </c>
      <c r="C199" s="74" t="inlineStr">
        <is>
          <t>studentId</t>
        </is>
      </c>
      <c r="D199" s="74" t="inlineStr">
        <is>
          <t>totalPercent</t>
        </is>
      </c>
      <c r="E199" s="74" t="inlineStr">
        <is>
          <t>grade</t>
        </is>
      </c>
      <c r="F199" s="74" t="inlineStr">
        <is>
          <t>overrideReason</t>
        </is>
      </c>
    </row>
    <row r="200" ht="22" customHeight="1">
      <c r="B200" s="75" t="inlineStr">
        <is>
          <t>VARCHAR(30)</t>
        </is>
      </c>
      <c r="C200" s="75" t="inlineStr">
        <is>
          <t>VARCHAR(30)</t>
        </is>
      </c>
      <c r="D200" s="75" t="inlineStr">
        <is>
          <t>DOUBLE</t>
        </is>
      </c>
      <c r="E200" s="75" t="inlineStr">
        <is>
          <t>VARCHAR(5)</t>
        </is>
      </c>
      <c r="F200" s="75" t="inlineStr">
        <is>
          <t>VARCHAR(1000)</t>
        </is>
      </c>
    </row>
    <row r="201" ht="16" customHeight="1">
      <c r="B201" s="76" t="inlineStr">
        <is>
          <t>PK</t>
        </is>
      </c>
      <c r="C201" s="77" t="inlineStr">
        <is>
          <t>UQ</t>
        </is>
      </c>
      <c r="D201" s="78" t="inlineStr"/>
      <c r="E201" s="78" t="inlineStr"/>
      <c r="F201" s="86" t="inlineStr">
        <is>
          <t>NULL</t>
        </is>
      </c>
    </row>
    <row r="202">
      <c r="B202" s="79" t="inlineStr">
        <is>
          <t>sg-01</t>
        </is>
      </c>
      <c r="C202" s="80" t="inlineStr">
        <is>
          <t>std-01</t>
        </is>
      </c>
      <c r="D202" s="81" t="n">
        <v>86.8</v>
      </c>
      <c r="E202" s="80" t="inlineStr">
        <is>
          <t>A</t>
        </is>
      </c>
      <c r="F202" s="80" t="inlineStr">
        <is>
          <t>— ว่าง —</t>
        </is>
      </c>
    </row>
    <row r="203">
      <c r="B203" s="82" t="inlineStr">
        <is>
          <t>sg-02</t>
        </is>
      </c>
      <c r="C203" s="83" t="inlineStr">
        <is>
          <t>std-02</t>
        </is>
      </c>
      <c r="D203" s="84" t="n">
        <v>72.65000000000001</v>
      </c>
      <c r="E203" s="83" t="inlineStr">
        <is>
          <t>B</t>
        </is>
      </c>
      <c r="F203" s="83" t="inlineStr">
        <is>
          <t>— ว่าง —</t>
        </is>
      </c>
    </row>
    <row r="204">
      <c r="B204" s="79" t="inlineStr">
        <is>
          <t>sg-03</t>
        </is>
      </c>
      <c r="C204" s="80" t="inlineStr">
        <is>
          <t>std-03</t>
        </is>
      </c>
      <c r="D204" s="81" t="n">
        <v>58.7</v>
      </c>
      <c r="E204" s="80" t="inlineStr">
        <is>
          <t>D+</t>
        </is>
      </c>
      <c r="F204" s="80" t="inlineStr">
        <is>
          <t>— ว่าง —</t>
        </is>
      </c>
    </row>
    <row r="205">
      <c r="B205" s="82" t="inlineStr">
        <is>
          <t>sg-04</t>
        </is>
      </c>
      <c r="C205" s="83" t="inlineStr">
        <is>
          <t>std-04</t>
        </is>
      </c>
      <c r="D205" s="84" t="n">
        <v>45.15</v>
      </c>
      <c r="E205" s="83" t="inlineStr">
        <is>
          <t>F</t>
        </is>
      </c>
      <c r="F205" s="83" t="inlineStr">
        <is>
          <t>— ว่าง —</t>
        </is>
      </c>
    </row>
    <row r="206">
      <c r="B206" s="79" t="inlineStr">
        <is>
          <t>sg-05</t>
        </is>
      </c>
      <c r="C206" s="80" t="inlineStr">
        <is>
          <t>std-05</t>
        </is>
      </c>
      <c r="D206" s="81" t="n">
        <v>94.05</v>
      </c>
      <c r="E206" s="80" t="inlineStr">
        <is>
          <t>A</t>
        </is>
      </c>
      <c r="F206" s="80" t="inlineStr">
        <is>
          <t>— ว่าง —</t>
        </is>
      </c>
    </row>
    <row r="207">
      <c r="B207" s="82" t="inlineStr">
        <is>
          <t>sg-06</t>
        </is>
      </c>
      <c r="C207" s="83" t="inlineStr">
        <is>
          <t>std-07</t>
        </is>
      </c>
      <c r="D207" s="84" t="n">
        <v>37.15</v>
      </c>
      <c r="E207" s="83" t="inlineStr">
        <is>
          <t>F</t>
        </is>
      </c>
      <c r="F207" s="83" t="inlineStr">
        <is>
          <t>— ว่าง —</t>
        </is>
      </c>
    </row>
    <row r="208" ht="30" customHeight="1">
      <c r="B208" s="14" t="inlineStr">
        <is>
          <t>เก็บ 9 คอลัมน์รวมทั้งสองตาราง จากเดิม 35 — ระบบนี้มีไว้รายงานการบรรลุ CLO การตัดเกรดเป็นผลพลอยได้ จึงเก็บเท่าที่ตอบได้ว่าได้เกรดอะไรบนเกณฑ์แบบไหน  ·  เกรดกับคะแนนรวมถูกบันทึกเป็นค่าจริง แก้คะแนนดิบทีหลังจึงไม่ทำให้เกรดที่ให้ไปแล้วขยับ  ·  แลกกับการที่เกรดอิงกลุ่มย้อนพิสูจน์ที่มาไม่ได้ เพราะไม่ได้เก็บ n / mean / sd ไว้</t>
        </is>
      </c>
    </row>
    <row r="211" ht="22" customHeight="1">
      <c r="B211" s="87" t="inlineStr">
        <is>
          <t>รวมทั้งหมด 13 ตาราง 80 คอลัมน์</t>
        </is>
      </c>
    </row>
    <row r="212" ht="30" customHeight="1">
      <c r="B212" s="14" t="inlineStr">
        <is>
          <t>ตาราง 11 ตารางแรกไม่มีตารางใดเก็บผลการคำนวณเลย — ผลการบรรลุ CLO ในแผ่นที่ 7 และรายงานในแผ่นที่ 9 คำนวณใหม่ทุกครั้งที่เปิดดู จากคะแนนดิบและน้ำหนัก จึงไม่มีทางที่ตัวเลขในรายงานจะขัดแย้งกับคะแนน ที่อาจารย์กรอกไว้ และการแก้คะแนนย้อนหลังจะสะท้อนในรายงานทันที</t>
        </is>
      </c>
    </row>
    <row r="213" ht="30" customHeight="1">
      <c r="B213" s="38" t="inlineStr">
        <is>
          <t>StudentGrade คือข้อยกเว้นเดียว และเป็นข้อยกเว้นโดยตั้งใจ  ·  เกรดถูกเก็บเป็นค่าจริง ไม่ได้คำนวณสดตอนเปิดดู เพราะเกรดที่ประกาศไปเดือนตุลาคมต้องอ่านได้เหมือนเดิมในเดือนมีนาคม แม้จะมีคนถอนรายวิชาหรือมีการแก้คะแนนย้อนหลังก็ตาม — เป็น 'ข้อเท็จจริงทางประวัติศาสตร์' ไม่ใช่ค่าที่คำนวณใหม่แล้วได้เท่าเดิม  ·  ส่วนค่าเฉลี่ยและส่วนเบี่ยงเบนที่ใช้ตอนตัดอิงกลุ่ม ไม่ได้เก็บไว้ จึงย้อนพิสูจน์ที่มาของเกรดอิงกลุ่มจากฐานข้อมูลอย่างเดียวไม่ได้</t>
        </is>
      </c>
    </row>
  </sheetData>
  <mergeCells count="45">
    <mergeCell ref="B126:F126"/>
    <mergeCell ref="B49:E49"/>
    <mergeCell ref="B7:I7"/>
    <mergeCell ref="B74:H74"/>
    <mergeCell ref="B107:D107"/>
    <mergeCell ref="B211:Q211"/>
    <mergeCell ref="B92:E92"/>
    <mergeCell ref="B165:F165"/>
    <mergeCell ref="B208:F208"/>
    <mergeCell ref="B64:H64"/>
    <mergeCell ref="B169:H169"/>
    <mergeCell ref="B27:F27"/>
    <mergeCell ref="B123:E123"/>
    <mergeCell ref="B63:H63"/>
    <mergeCell ref="B45:H45"/>
    <mergeCell ref="B213:Q213"/>
    <mergeCell ref="B36:H36"/>
    <mergeCell ref="B110:E110"/>
    <mergeCell ref="B50:E50"/>
    <mergeCell ref="B212:Q212"/>
    <mergeCell ref="B4:Q4"/>
    <mergeCell ref="B14:I14"/>
    <mergeCell ref="B194:E194"/>
    <mergeCell ref="B95:D95"/>
    <mergeCell ref="B46:H46"/>
    <mergeCell ref="B18:Q18"/>
    <mergeCell ref="B77:E77"/>
    <mergeCell ref="B26:F26"/>
    <mergeCell ref="B111:E111"/>
    <mergeCell ref="B197:F197"/>
    <mergeCell ref="B127:F127"/>
    <mergeCell ref="B181:E181"/>
    <mergeCell ref="B175:H175"/>
    <mergeCell ref="B6:I6"/>
    <mergeCell ref="B17:Q17"/>
    <mergeCell ref="B23:Q23"/>
    <mergeCell ref="B33:F33"/>
    <mergeCell ref="B73:H73"/>
    <mergeCell ref="B179:Q179"/>
    <mergeCell ref="B78:E78"/>
    <mergeCell ref="B96:D96"/>
    <mergeCell ref="B182:E182"/>
    <mergeCell ref="B198:F198"/>
    <mergeCell ref="B37:H37"/>
    <mergeCell ref="B168:H16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34" customWidth="1" min="3" max="3"/>
    <col width="24" customWidth="1" min="4" max="4"/>
    <col width="26" customWidth="1" min="5" max="5"/>
    <col width="50" customWidth="1" min="6" max="6"/>
  </cols>
  <sheetData>
    <row r="1">
      <c r="A1" s="88" t="inlineStr">
        <is>
          <t>11 · ช่องกรอกแต่ละช่องเก็บที่ไหน</t>
        </is>
      </c>
    </row>
    <row r="2">
      <c r="A2" s="16" t="inlineStr">
        <is>
          <t>ใช้ตอบคำถามว่าข้อมูลที่กรอกไปอยู่ที่ใด และค่าใดที่ระบบคำนวณให้โดยไม่เก็บซ้ำ</t>
        </is>
      </c>
    </row>
    <row r="4" ht="24" customHeight="1">
      <c r="B4" s="17" t="inlineStr">
        <is>
          <t>แผ่นงาน</t>
        </is>
      </c>
      <c r="C4" s="17" t="inlineStr">
        <is>
          <t>ช่องกรอก / สิ่งที่เห็น</t>
        </is>
      </c>
      <c r="D4" s="17" t="inlineStr">
        <is>
          <t>ตาราง</t>
        </is>
      </c>
      <c r="E4" s="17" t="inlineStr">
        <is>
          <t>คอลัมน์</t>
        </is>
      </c>
      <c r="F4" s="17" t="inlineStr">
        <is>
          <t>หมายเหตุ</t>
        </is>
      </c>
    </row>
    <row r="5">
      <c r="B5" s="32" t="inlineStr">
        <is>
          <t>1 ข้อมูลรายวิชา</t>
        </is>
      </c>
      <c r="C5" s="10" t="inlineStr">
        <is>
          <t>รหัสวิชา / ภาค / ปี / กลุ่มเรียน</t>
        </is>
      </c>
      <c r="D5" s="89" t="inlineStr">
        <is>
          <t>Course</t>
        </is>
      </c>
      <c r="E5" s="19" t="inlineStr">
        <is>
          <t>code, semester, year, section</t>
        </is>
      </c>
      <c r="F5" s="32" t="inlineStr">
        <is>
          <t>สี่ค่านี้รวมกันต้องไม่ซ้ำ</t>
        </is>
      </c>
    </row>
    <row r="6">
      <c r="B6" s="34" t="inlineStr">
        <is>
          <t>1 ข้อมูลรายวิชา</t>
        </is>
      </c>
      <c r="C6" s="12" t="inlineStr">
        <is>
          <t>เกณฑ์ผ่านรายวิชา</t>
        </is>
      </c>
      <c r="D6" s="90" t="inlineStr">
        <is>
          <t>Course</t>
        </is>
      </c>
      <c r="E6" s="20" t="inlineStr">
        <is>
          <t>passCriteria</t>
        </is>
      </c>
      <c r="F6" s="34" t="inlineStr">
        <is>
          <t>ใช้ตัดสินผ่าน/ไม่ผ่านรายบุคคล</t>
        </is>
      </c>
    </row>
    <row r="7">
      <c r="B7" s="32" t="inlineStr">
        <is>
          <t>1 ข้อมูลรายวิชา</t>
        </is>
      </c>
      <c r="C7" s="10" t="inlineStr">
        <is>
          <t>เป้าหมายระดับชั้น</t>
        </is>
      </c>
      <c r="D7" s="89" t="inlineStr">
        <is>
          <t>Course</t>
        </is>
      </c>
      <c r="E7" s="19" t="inlineStr">
        <is>
          <t>classTarget</t>
        </is>
      </c>
      <c r="F7" s="32" t="inlineStr">
        <is>
          <t>ใช้ตัดสินว่า CLO บรรลุหรือไม่</t>
        </is>
      </c>
    </row>
    <row r="8">
      <c r="B8" s="34" t="inlineStr">
        <is>
          <t>1 ข้อมูลรายวิชา</t>
        </is>
      </c>
      <c r="C8" s="12" t="inlineStr">
        <is>
          <t>อาจารย์ผู้รับผิดชอบ / ผู้สอนร่วม</t>
        </is>
      </c>
      <c r="D8" s="90" t="inlineStr">
        <is>
          <t>CourseInstructor</t>
        </is>
      </c>
      <c r="E8" s="20" t="inlineStr">
        <is>
          <t>userId, role</t>
        </is>
      </c>
      <c r="F8" s="34" t="inlineStr">
        <is>
          <t>LEAD ได้ไม่เกิน 1 คนต่อรายวิชา</t>
        </is>
      </c>
    </row>
    <row r="9">
      <c r="B9" s="32" t="inlineStr">
        <is>
          <t>2 CLO</t>
        </is>
      </c>
      <c r="C9" s="10" t="inlineStr">
        <is>
          <t>ผลลัพธ์การเรียนรู้ที่คาดหวัง</t>
        </is>
      </c>
      <c r="D9" s="89" t="inlineStr">
        <is>
          <t>CLO</t>
        </is>
      </c>
      <c r="E9" s="19" t="inlineStr">
        <is>
          <t>description</t>
        </is>
      </c>
      <c r="F9" s="32" t="inlineStr"/>
    </row>
    <row r="10">
      <c r="B10" s="34" t="inlineStr">
        <is>
          <t>2 CLO</t>
        </is>
      </c>
      <c r="C10" s="12" t="inlineStr">
        <is>
          <t>เกณฑ์ผ่านของ CLO</t>
        </is>
      </c>
      <c r="D10" s="90" t="inlineStr">
        <is>
          <t>CLO</t>
        </is>
      </c>
      <c r="E10" s="20" t="inlineStr">
        <is>
          <t>threshold</t>
        </is>
      </c>
      <c r="F10" s="34" t="inlineStr">
        <is>
          <t>เกณฑ์รายบุคคล ไม่ใช่ระดับชั้น</t>
        </is>
      </c>
    </row>
    <row r="11">
      <c r="B11" s="32" t="inlineStr">
        <is>
          <t>2 CLO</t>
        </is>
      </c>
      <c r="C11" s="10" t="inlineStr">
        <is>
          <t>จุดประสงค์เชิงพฤติกรรม</t>
        </is>
      </c>
      <c r="D11" s="89" t="inlineStr">
        <is>
          <t>BehavioralObjective</t>
        </is>
      </c>
      <c r="E11" s="19" t="inlineStr">
        <is>
          <t>cloId, number, description</t>
        </is>
      </c>
      <c r="F11" s="32" t="inlineStr">
        <is>
          <t>ใช้ตามรอย ไม่กระทบคะแนน</t>
        </is>
      </c>
    </row>
    <row r="12">
      <c r="B12" s="34" t="inlineStr">
        <is>
          <t>2 CLO</t>
        </is>
      </c>
      <c r="C12" s="12" t="inlineStr">
        <is>
          <t>ระดับ Bloom</t>
        </is>
      </c>
      <c r="D12" s="90" t="inlineStr">
        <is>
          <t>CLO</t>
        </is>
      </c>
      <c r="E12" s="20" t="inlineStr">
        <is>
          <t>bloomLevel</t>
        </is>
      </c>
      <c r="F12" s="34" t="inlineStr">
        <is>
          <t>ผู้สอนเลือกเอง ไม่มีค่าเริ่มต้น</t>
        </is>
      </c>
    </row>
    <row r="13">
      <c r="B13" s="32" t="inlineStr">
        <is>
          <t>2 CLO</t>
        </is>
      </c>
      <c r="C13" s="10" t="inlineStr">
        <is>
          <t>เป้าหมายผู้ผ่านราย CLO</t>
        </is>
      </c>
      <c r="D13" s="89" t="inlineStr">
        <is>
          <t>CLO</t>
        </is>
      </c>
      <c r="E13" s="19" t="inlineStr">
        <is>
          <t>classTarget</t>
        </is>
      </c>
      <c r="F13" s="32" t="inlineStr">
        <is>
          <t>เว้นว่าง = ใช้ค่าของรายวิชา</t>
        </is>
      </c>
    </row>
    <row r="14">
      <c r="B14" s="34" t="inlineStr">
        <is>
          <t>3 แผนประเมิน มคอ.3</t>
        </is>
      </c>
      <c r="C14" s="12" t="inlineStr">
        <is>
          <t>งาน/กิจกรรม และวิธีการประเมิน</t>
        </is>
      </c>
      <c r="D14" s="90" t="inlineStr">
        <is>
          <t>Activity</t>
        </is>
      </c>
      <c r="E14" s="20" t="inlineStr">
        <is>
          <t>name, method</t>
        </is>
      </c>
      <c r="F14" s="34" t="inlineStr"/>
    </row>
    <row r="15">
      <c r="B15" s="32" t="inlineStr">
        <is>
          <t>3 แผนประเมิน มคอ.3</t>
        </is>
      </c>
      <c r="C15" s="10" t="inlineStr">
        <is>
          <t>คะแนนเต็ม</t>
        </is>
      </c>
      <c r="D15" s="89" t="inlineStr">
        <is>
          <t>Activity</t>
        </is>
      </c>
      <c r="E15" s="19" t="inlineStr">
        <is>
          <t>maxScore</t>
        </is>
      </c>
      <c r="F15" s="32" t="inlineStr">
        <is>
          <t>ต้องมากกว่า 0</t>
        </is>
      </c>
    </row>
    <row r="16">
      <c r="B16" s="34" t="inlineStr">
        <is>
          <t>3 แผนประเมิน มคอ.3</t>
        </is>
      </c>
      <c r="C16" s="12" t="inlineStr">
        <is>
          <t>สัดส่วนการประเมิน (%)</t>
        </is>
      </c>
      <c r="D16" s="90" t="inlineStr">
        <is>
          <t>Activity</t>
        </is>
      </c>
      <c r="E16" s="20" t="inlineStr">
        <is>
          <t>weight</t>
        </is>
      </c>
      <c r="F16" s="34" t="inlineStr">
        <is>
          <t>รวมทุกกิจกรรมต้องได้ 100</t>
        </is>
      </c>
    </row>
    <row r="17">
      <c r="B17" s="91" t="inlineStr">
        <is>
          <t>3 แผนประเมิน มคอ.3</t>
        </is>
      </c>
      <c r="C17" s="92" t="inlineStr">
        <is>
          <t>สัปดาห์ที่ประเมิน</t>
        </is>
      </c>
      <c r="D17" s="93" t="inlineStr">
        <is>
          <t>— ยังไม่มีที่เก็บ —</t>
        </is>
      </c>
      <c r="E17" s="94" t="inlineStr">
        <is>
          <t>ต้องเพิ่มคอลัมน์</t>
        </is>
      </c>
      <c r="F17" s="91" t="inlineStr">
        <is>
          <t>มคอ.3 ต้องระบุ แต่ฐานข้อมูลยังไม่รองรับ</t>
        </is>
      </c>
    </row>
    <row r="18">
      <c r="B18" s="34" t="inlineStr">
        <is>
          <t>4 เมทริกซ์ CLO x กิจกรรม</t>
        </is>
      </c>
      <c r="C18" s="12" t="inlineStr">
        <is>
          <t>ตัวเลขน้ำหนักในเมทริกซ์</t>
        </is>
      </c>
      <c r="D18" s="90" t="inlineStr">
        <is>
          <t>AssessmentCriteria</t>
        </is>
      </c>
      <c r="E18" s="20" t="inlineStr">
        <is>
          <t>activityId, cloId, weight</t>
        </is>
      </c>
      <c r="F18" s="34" t="inlineStr">
        <is>
          <t>ช่องที่เป็น 0 ไม่สร้างแถว</t>
        </is>
      </c>
    </row>
    <row r="19">
      <c r="B19" s="46" t="inlineStr">
        <is>
          <t>4 เมทริกซ์ CLO x กิจกรรม</t>
        </is>
      </c>
      <c r="C19" s="95" t="inlineStr">
        <is>
          <t>น้ำหนักของ CLO</t>
        </is>
      </c>
      <c r="D19" s="96" t="inlineStr">
        <is>
          <t>— ไม่เก็บ —</t>
        </is>
      </c>
      <c r="E19" s="97" t="inlineStr">
        <is>
          <t>คำนวณจากเมทริกซ์</t>
        </is>
      </c>
      <c r="F19" s="46" t="inlineStr">
        <is>
          <t>ป้องกันตัวเลขสองที่ไม่ตรงกัน</t>
        </is>
      </c>
    </row>
    <row r="20">
      <c r="B20" s="34" t="inlineStr">
        <is>
          <t>5 รายชื่อนักศึกษา</t>
        </is>
      </c>
      <c r="C20" s="12" t="inlineStr">
        <is>
          <t>รหัสนักศึกษา / ชื่อ</t>
        </is>
      </c>
      <c r="D20" s="90" t="inlineStr">
        <is>
          <t>Student</t>
        </is>
      </c>
      <c r="E20" s="20" t="inlineStr">
        <is>
          <t>studentCode, name, courseId</t>
        </is>
      </c>
      <c r="F20" s="34" t="inlineStr">
        <is>
          <t>ห้ามซ้ำภายในรายวิชาเดียวกัน</t>
        </is>
      </c>
    </row>
    <row r="21">
      <c r="B21" s="32" t="inlineStr">
        <is>
          <t>6 กรอกคะแนน</t>
        </is>
      </c>
      <c r="C21" s="10" t="inlineStr">
        <is>
          <t>ตัวเลขคะแนน</t>
        </is>
      </c>
      <c r="D21" s="89" t="inlineStr">
        <is>
          <t>Score</t>
        </is>
      </c>
      <c r="E21" s="19" t="inlineStr">
        <is>
          <t>studentId, activityId, score</t>
        </is>
      </c>
      <c r="F21" s="32" t="inlineStr">
        <is>
          <t>เว้นว่างไม่สร้างแถว · 0 สร้างแถว</t>
        </is>
      </c>
    </row>
    <row r="22">
      <c r="B22" s="34" t="inlineStr">
        <is>
          <t>6 กรอกคะแนน</t>
        </is>
      </c>
      <c r="C22" s="12" t="inlineStr">
        <is>
          <t>การอัปโหลดไฟล์</t>
        </is>
      </c>
      <c r="D22" s="90" t="inlineStr">
        <is>
          <t>ScoreUploadLog</t>
        </is>
      </c>
      <c r="E22" s="20" t="inlineStr">
        <is>
          <t>fileName, recordsOk, recordsFail</t>
        </is>
      </c>
      <c r="F22" s="34" t="inlineStr">
        <is>
          <t>บันทึกทุกครั้งแม้ไฟล์ผิดทั้งไฟล์</t>
        </is>
      </c>
    </row>
    <row r="23">
      <c r="B23" s="46" t="inlineStr">
        <is>
          <t>7 ผลการบรรลุ CLO</t>
        </is>
      </c>
      <c r="C23" s="95" t="inlineStr">
        <is>
          <t>คะแนน CLO รายบุคคล</t>
        </is>
      </c>
      <c r="D23" s="96" t="inlineStr">
        <is>
          <t>— ไม่เก็บ —</t>
        </is>
      </c>
      <c r="E23" s="97" t="inlineStr">
        <is>
          <t>คำนวณสด</t>
        </is>
      </c>
      <c r="F23" s="46" t="inlineStr">
        <is>
          <t>อ่านจากคะแนนดิบและน้ำหนัก</t>
        </is>
      </c>
    </row>
    <row r="24">
      <c r="B24" s="46" t="inlineStr">
        <is>
          <t>7 ผลการบรรลุ CLO</t>
        </is>
      </c>
      <c r="C24" s="95" t="inlineStr">
        <is>
          <t>สถานะการติดตาม</t>
        </is>
      </c>
      <c r="D24" s="96" t="inlineStr">
        <is>
          <t>— ไม่เก็บ —</t>
        </is>
      </c>
      <c r="E24" s="97" t="inlineStr">
        <is>
          <t>คำนวณสด</t>
        </is>
      </c>
      <c r="F24" s="46" t="inlineStr">
        <is>
          <t>ยังไม่บรรลุ CLO อย่างน้อย 1 ข้อ</t>
        </is>
      </c>
    </row>
    <row r="25">
      <c r="B25" s="46" t="inlineStr">
        <is>
          <t>9 รายงาน มคอ.5</t>
        </is>
      </c>
      <c r="C25" s="95" t="inlineStr">
        <is>
          <t>ตารางรายงาน มคอ.5</t>
        </is>
      </c>
      <c r="D25" s="96" t="inlineStr">
        <is>
          <t>— ไม่เก็บ —</t>
        </is>
      </c>
      <c r="E25" s="97" t="inlineStr">
        <is>
          <t>คำนวณสด</t>
        </is>
      </c>
      <c r="F25" s="46" t="inlineStr">
        <is>
          <t>ส่งออกเป็นไฟล์ได้ตามข้อกำหนดของระบบ</t>
        </is>
      </c>
    </row>
    <row r="27" ht="30" customHeight="1">
      <c r="B27" s="14" t="inlineStr">
        <is>
          <t>แถวสีเขียวคือค่าที่ระบบคำนวณให้ ไม่มีการเก็บซ้ำในฐานข้อมูล  ·  แถวสีชมพูคือข้อมูลที่ มคอ. ต้องการแต่ฐานข้อมูลยังไม่รองรับ ซึ่งต้องตัดสินใจก่อนพัฒนาส่วนออกรายงาน</t>
        </is>
      </c>
    </row>
  </sheetData>
  <mergeCells count="1"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2026-09-06T09:19:37Z</dcterms:created>
  <dcterms:modified xsi:type="dcterms:W3CDTF">2026-09-06T09:19:38Z</dcterms:modified>
</cp:coreProperties>
</file>