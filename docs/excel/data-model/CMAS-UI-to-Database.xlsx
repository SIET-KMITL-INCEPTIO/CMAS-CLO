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UI-1 รายวิชา" sheetId="2" state="visible" r:id="rId2"/>
    <sheet name="UI-2 CLO" sheetId="3" state="visible" r:id="rId3"/>
    <sheet name="UI-3 กิจกรรม" sheetId="4" state="visible" r:id="rId4"/>
    <sheet name="UI-4 Mapping" sheetId="5" state="visible" r:id="rId5"/>
    <sheet name="UI-5 รายชื่อ" sheetId="6" state="visible" r:id="rId6"/>
    <sheet name="UI-6 กรอกคะแนน" sheetId="7" state="visible" r:id="rId7"/>
    <sheet name="UI-7 ผลลัพธ์ CLO" sheetId="8" state="visible" r:id="rId8"/>
    <sheet name="DB ทุกตาราง" sheetId="9" state="visible" r:id="rId9"/>
    <sheet name="UI to DB Mapp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2">
    <font>
      <name val="Calibri"/>
      <family val="2"/>
      <color theme="1"/>
      <sz val="11"/>
      <scheme val="minor"/>
    </font>
    <font>
      <name val="Calibri"/>
      <b val="1"/>
      <color rgb="0019151B"/>
      <sz val="16"/>
    </font>
    <font>
      <name val="Calibri"/>
      <i val="1"/>
      <color rgb="004A454A"/>
      <sz val="10.5"/>
    </font>
    <font>
      <name val="Calibri"/>
      <b val="1"/>
      <color rgb="0019151B"/>
      <sz val="12"/>
    </font>
    <font>
      <name val="Calibri"/>
      <b val="1"/>
      <color rgb="00FFFFFF"/>
      <sz val="10"/>
    </font>
    <font>
      <name val="Calibri"/>
      <b val="1"/>
      <color rgb="001A1C1D"/>
      <sz val="10"/>
    </font>
    <font>
      <name val="Calibri"/>
      <color rgb="001A1C1D"/>
      <sz val="10"/>
    </font>
    <font>
      <b val="1"/>
      <color rgb="0044405A"/>
      <sz val="10"/>
    </font>
    <font>
      <b val="1"/>
      <color rgb="00137333"/>
      <sz val="10"/>
    </font>
    <font>
      <i val="1"/>
      <color rgb="004A454A"/>
      <sz val="9.5"/>
    </font>
    <font>
      <name val="Calibri"/>
      <b val="1"/>
      <color rgb="001A56C4"/>
      <sz val="16"/>
    </font>
    <font>
      <name val="Consolas"/>
      <color rgb="004A454A"/>
      <sz val="9.5"/>
    </font>
    <font>
      <b val="1"/>
      <color rgb="001A1C1D"/>
      <sz val="10"/>
    </font>
    <font>
      <b val="1"/>
      <color rgb="00B06000"/>
      <sz val="10"/>
    </font>
    <font>
      <color rgb="00A9A4B0"/>
      <sz val="10"/>
    </font>
    <font>
      <b val="1"/>
      <color rgb="004A454A"/>
      <sz val="10"/>
    </font>
    <font>
      <name val="Calibri"/>
      <color rgb="004A454A"/>
      <sz val="9.5"/>
    </font>
    <font>
      <i val="1"/>
      <color rgb="00B06000"/>
      <sz val="9.5"/>
    </font>
    <font>
      <name val="Calibri"/>
      <b val="1"/>
      <color rgb="00137333"/>
      <sz val="16"/>
    </font>
    <font>
      <name val="Calibri"/>
      <b val="1"/>
      <color rgb="0044405A"/>
      <sz val="16"/>
    </font>
    <font>
      <name val="Calibri"/>
      <b val="1"/>
      <color rgb="00FFFFFF"/>
      <sz val="12"/>
    </font>
    <font>
      <i val="1"/>
      <color rgb="001A56C4"/>
      <sz val="9.5"/>
    </font>
  </fonts>
  <fills count="12">
    <fill>
      <patternFill/>
    </fill>
    <fill>
      <patternFill patternType="gray125"/>
    </fill>
    <fill>
      <patternFill patternType="solid">
        <fgColor rgb="001A56C4"/>
      </patternFill>
    </fill>
    <fill>
      <patternFill patternType="solid">
        <fgColor rgb="00FFFFFF"/>
      </patternFill>
    </fill>
    <fill>
      <patternFill patternType="solid">
        <fgColor rgb="00F3F3F5"/>
      </patternFill>
    </fill>
    <fill>
      <patternFill patternType="solid">
        <fgColor rgb="00E6F4EA"/>
      </patternFill>
    </fill>
    <fill>
      <patternFill patternType="solid">
        <fgColor rgb="00EAF1FE"/>
      </patternFill>
    </fill>
    <fill>
      <patternFill patternType="solid">
        <fgColor rgb="00FEF7E0"/>
      </patternFill>
    </fill>
    <fill>
      <patternFill patternType="solid">
        <fgColor rgb="00F5F5F7"/>
      </patternFill>
    </fill>
    <fill>
      <patternFill patternType="solid">
        <fgColor rgb="00FAFAFC"/>
      </patternFill>
    </fill>
    <fill>
      <patternFill patternType="solid">
        <fgColor rgb="00137333"/>
      </patternFill>
    </fill>
    <fill>
      <patternFill patternType="solid">
        <fgColor rgb="0044405A"/>
      </patternFill>
    </fill>
  </fills>
  <borders count="2">
    <border>
      <left/>
      <right/>
      <top/>
      <bottom/>
      <diagonal/>
    </border>
    <border>
      <left style="thin">
        <color rgb="00CCC4CA"/>
      </left>
      <right style="thin">
        <color rgb="00CCC4CA"/>
      </right>
      <top style="thin">
        <color rgb="00CCC4CA"/>
      </top>
      <bottom style="thin">
        <color rgb="00CCC4CA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center" wrapText="1"/>
    </xf>
    <xf numFmtId="0" fontId="10" fillId="0" borderId="0" pivotButton="0" quotePrefix="0" xfId="0"/>
    <xf numFmtId="0" fontId="6" fillId="6" borderId="1" applyAlignment="1" pivotButton="0" quotePrefix="0" xfId="0">
      <alignment horizontal="center" vertical="center"/>
    </xf>
    <xf numFmtId="0" fontId="11" fillId="3" borderId="1" applyAlignment="1" pivotButton="0" quotePrefix="0" xfId="0">
      <alignment vertical="center"/>
    </xf>
    <xf numFmtId="0" fontId="11" fillId="4" borderId="1" applyAlignment="1" pivotButton="0" quotePrefix="0" xfId="0">
      <alignment vertical="center"/>
    </xf>
    <xf numFmtId="0" fontId="6" fillId="3" borderId="1" applyAlignment="1" pivotButton="0" quotePrefix="0" xfId="0">
      <alignment horizontal="center"/>
    </xf>
    <xf numFmtId="0" fontId="6" fillId="3" borderId="1" applyAlignment="1" pivotButton="0" quotePrefix="0" xfId="0">
      <alignment vertical="center"/>
    </xf>
    <xf numFmtId="0" fontId="6" fillId="6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12" fillId="7" borderId="1" applyAlignment="1" pivotButton="0" quotePrefix="0" xfId="0">
      <alignment horizontal="center"/>
    </xf>
    <xf numFmtId="0" fontId="13" fillId="7" borderId="1" applyAlignment="1" pivotButton="0" quotePrefix="0" xfId="0">
      <alignment vertical="center"/>
    </xf>
    <xf numFmtId="0" fontId="14" fillId="8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15" fillId="3" borderId="1" applyAlignment="1" pivotButton="0" quotePrefix="0" xfId="0">
      <alignment vertical="center"/>
    </xf>
    <xf numFmtId="0" fontId="5" fillId="4" borderId="1" applyAlignment="1" pivotButton="0" quotePrefix="0" xfId="0">
      <alignment horizontal="center"/>
    </xf>
    <xf numFmtId="0" fontId="15" fillId="4" borderId="1" applyAlignment="1" pivotButton="0" quotePrefix="0" xfId="0">
      <alignment vertical="center"/>
    </xf>
    <xf numFmtId="2" fontId="8" fillId="5" borderId="1" applyAlignment="1" pivotButton="0" quotePrefix="0" xfId="0">
      <alignment horizontal="center"/>
    </xf>
    <xf numFmtId="0" fontId="16" fillId="5" borderId="1" applyAlignment="1" pivotButton="0" quotePrefix="0" xfId="0">
      <alignment vertical="center"/>
    </xf>
    <xf numFmtId="0" fontId="5" fillId="0" borderId="0" pivotButton="0" quotePrefix="0" xfId="0"/>
    <xf numFmtId="49" fontId="6" fillId="6" borderId="1" applyAlignment="1" pivotButton="0" quotePrefix="0" xfId="0">
      <alignment horizontal="center"/>
    </xf>
    <xf numFmtId="0" fontId="6" fillId="6" borderId="1" applyAlignment="1" pivotButton="0" quotePrefix="0" xfId="0">
      <alignment vertical="center"/>
    </xf>
    <xf numFmtId="49" fontId="11" fillId="3" borderId="1" applyAlignment="1" pivotButton="0" quotePrefix="0" xfId="0">
      <alignment horizontal="center"/>
    </xf>
    <xf numFmtId="0" fontId="16" fillId="3" borderId="1" applyAlignment="1" pivotButton="0" quotePrefix="0" xfId="0">
      <alignment vertical="center"/>
    </xf>
    <xf numFmtId="49" fontId="11" fillId="4" borderId="1" applyAlignment="1" pivotButton="0" quotePrefix="0" xfId="0">
      <alignment horizontal="center"/>
    </xf>
    <xf numFmtId="0" fontId="16" fillId="4" borderId="1" applyAlignment="1" pivotButton="0" quotePrefix="0" xfId="0">
      <alignment vertical="center"/>
    </xf>
    <xf numFmtId="0" fontId="6" fillId="9" borderId="1" applyAlignment="1" pivotButton="0" quotePrefix="0" xfId="0">
      <alignment horizontal="center"/>
    </xf>
    <xf numFmtId="0" fontId="17" fillId="7" borderId="0" applyAlignment="1" pivotButton="0" quotePrefix="0" xfId="0">
      <alignment vertical="center" wrapText="1"/>
    </xf>
    <xf numFmtId="0" fontId="18" fillId="0" borderId="0" pivotButton="0" quotePrefix="0" xfId="0"/>
    <xf numFmtId="0" fontId="4" fillId="10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2" fontId="6" fillId="3" borderId="1" applyAlignment="1" pivotButton="0" quotePrefix="0" xfId="0">
      <alignment horizontal="center"/>
    </xf>
    <xf numFmtId="2" fontId="5" fillId="3" borderId="1" applyAlignment="1" pivotButton="0" quotePrefix="0" xfId="0">
      <alignment horizontal="center"/>
    </xf>
    <xf numFmtId="1" fontId="16" fillId="3" borderId="1" applyAlignment="1" pivotButton="0" quotePrefix="0" xfId="0">
      <alignment horizontal="center"/>
    </xf>
    <xf numFmtId="0" fontId="16" fillId="3" borderId="1" applyAlignment="1" pivotButton="0" quotePrefix="0" xfId="0">
      <alignment horizontal="center"/>
    </xf>
    <xf numFmtId="2" fontId="6" fillId="4" borderId="1" applyAlignment="1" pivotButton="0" quotePrefix="0" xfId="0">
      <alignment horizontal="center"/>
    </xf>
    <xf numFmtId="2" fontId="5" fillId="4" borderId="1" applyAlignment="1" pivotButton="0" quotePrefix="0" xfId="0">
      <alignment horizontal="center"/>
    </xf>
    <xf numFmtId="1" fontId="16" fillId="4" borderId="1" applyAlignment="1" pivotButton="0" quotePrefix="0" xfId="0">
      <alignment horizontal="center"/>
    </xf>
    <xf numFmtId="0" fontId="16" fillId="4" borderId="1" applyAlignment="1" pivotButton="0" quotePrefix="0" xfId="0">
      <alignment horizontal="center"/>
    </xf>
    <xf numFmtId="0" fontId="19" fillId="0" borderId="0" pivotButton="0" quotePrefix="0" xfId="0"/>
    <xf numFmtId="0" fontId="20" fillId="11" borderId="0" applyAlignment="1" pivotButton="0" quotePrefix="0" xfId="0">
      <alignment vertical="center" indent="1"/>
    </xf>
    <xf numFmtId="0" fontId="16" fillId="0" borderId="0" pivotButton="0" quotePrefix="0" xfId="0"/>
    <xf numFmtId="0" fontId="21" fillId="0" borderId="0" pivotButton="0" quotePrefix="0" xfId="0"/>
    <xf numFmtId="0" fontId="4" fillId="11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0" fillId="10" borderId="0" pivotButton="0" quotePrefix="0" xfId="0"/>
    <xf numFmtId="0" fontId="6" fillId="5" borderId="1" applyAlignment="1" pivotButton="0" quotePrefix="0" xfId="0">
      <alignment vertical="center"/>
    </xf>
    <xf numFmtId="0" fontId="11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4" customWidth="1" min="3" max="3"/>
    <col width="62" customWidth="1" min="4" max="4"/>
  </cols>
  <sheetData>
    <row r="2">
      <c r="B2" s="1" t="inlineStr">
        <is>
          <t>CMAS — จากหน้าจอที่อาจารย์กรอก สู่ตารางในฐานข้อมูล</t>
        </is>
      </c>
    </row>
    <row r="3">
      <c r="B3" s="2" t="inlineStr">
        <is>
          <t>ไฟล์เดียว 2 มุมมองของข้อมูลชุดเดียวกัน (ข้อมูลจำลอง) — เพื่อให้ทีมเห็นว่ากรอกอะไรแล้วลงตารางไหน</t>
        </is>
      </c>
    </row>
    <row r="5">
      <c r="B5" s="3" t="inlineStr">
        <is>
          <t>แผนผังการไหลของข้อมูล</t>
        </is>
      </c>
    </row>
    <row r="6" ht="22" customHeight="1">
      <c r="B6" s="4" t="inlineStr">
        <is>
          <t>หน้าจอ (UI)</t>
        </is>
      </c>
      <c r="C6" s="4" t="inlineStr">
        <is>
          <t>อาจารย์กรอกอะไร</t>
        </is>
      </c>
      <c r="D6" s="4" t="inlineStr">
        <is>
          <t>ลงตารางใดในฐานข้อมูล</t>
        </is>
      </c>
    </row>
    <row r="7" ht="28" customHeight="1">
      <c r="B7" s="5" t="inlineStr">
        <is>
          <t>UI-1 รายวิชา</t>
        </is>
      </c>
      <c r="C7" s="6" t="inlineStr">
        <is>
          <t>ข้อมูลรายวิชา + เกณฑ์ผ่าน + เป้าหมายระดับชั้น</t>
        </is>
      </c>
      <c r="D7" s="7" t="inlineStr">
        <is>
          <t>Course  (1 แถว)</t>
        </is>
      </c>
    </row>
    <row r="8" ht="28" customHeight="1">
      <c r="B8" s="8" t="inlineStr">
        <is>
          <t>UI-2 CLO</t>
        </is>
      </c>
      <c r="C8" s="9" t="inlineStr">
        <is>
          <t>ผลลัพธ์การเรียนรู้ + จุดประสงค์เชิงพฤติกรรม</t>
        </is>
      </c>
      <c r="D8" s="10" t="inlineStr">
        <is>
          <t>CLO  ·  BehavioralObjective</t>
        </is>
      </c>
    </row>
    <row r="9" ht="28" customHeight="1">
      <c r="B9" s="5" t="inlineStr">
        <is>
          <t>UI-3 กิจกรรม</t>
        </is>
      </c>
      <c r="C9" s="6" t="inlineStr">
        <is>
          <t>กิจกรรมประเมิน + คะแนนเต็ม + น้ำหนักต่อวิชา</t>
        </is>
      </c>
      <c r="D9" s="7" t="inlineStr">
        <is>
          <t>Activity</t>
        </is>
      </c>
    </row>
    <row r="10" ht="28" customHeight="1">
      <c r="B10" s="8" t="inlineStr">
        <is>
          <t>UI-4 Mapping</t>
        </is>
      </c>
      <c r="C10" s="9" t="inlineStr">
        <is>
          <t>เมทริกซ์น้ำหนัก กิจกรรม × CLO  ← หัวใจของระบบ</t>
        </is>
      </c>
      <c r="D10" s="10" t="inlineStr">
        <is>
          <t>AssessmentCriteria  ·  ObjectiveAssessment</t>
        </is>
      </c>
    </row>
    <row r="11" ht="28" customHeight="1">
      <c r="B11" s="5" t="inlineStr">
        <is>
          <t>UI-5 รายชื่อ</t>
        </is>
      </c>
      <c r="C11" s="6" t="inlineStr">
        <is>
          <t>รายชื่อนักศึกษาในวิชา</t>
        </is>
      </c>
      <c r="D11" s="7" t="inlineStr">
        <is>
          <t>Student  (= การลงทะเบียน ไม่ใช่ตัวคน)</t>
        </is>
      </c>
    </row>
    <row r="12" ht="28" customHeight="1">
      <c r="B12" s="8" t="inlineStr">
        <is>
          <t>UI-6 กรอกคะแนน</t>
        </is>
      </c>
      <c r="C12" s="9" t="inlineStr">
        <is>
          <t>คะแนนรายคน รายกิจกรรม</t>
        </is>
      </c>
      <c r="D12" s="10" t="inlineStr">
        <is>
          <t>Score  (มีแถวเฉพาะช่องที่กรอกแล้ว)</t>
        </is>
      </c>
    </row>
    <row r="13" ht="28" customHeight="1">
      <c r="B13" s="11" t="inlineStr">
        <is>
          <t>UI-7 ผลลัพธ์ CLO</t>
        </is>
      </c>
      <c r="C13" s="12" t="inlineStr">
        <is>
          <t>ไม่ได้กรอก — ระบบคำนวณให้</t>
        </is>
      </c>
      <c r="D13" s="13" t="inlineStr">
        <is>
          <t>ไม่มีตารางเก็บ! คำนวณสดทุกครั้งที่เปิดดู</t>
        </is>
      </c>
    </row>
    <row r="15">
      <c r="B15" s="3" t="inlineStr">
        <is>
          <t>สิ่งที่ไฟล์นี้ตั้งใจให้เห็น</t>
        </is>
      </c>
    </row>
    <row r="16" ht="46" customHeight="1">
      <c r="B16" s="14" t="inlineStr">
        <is>
          <t>น้ำหนักมี 2 ชั้น อย่าสับสน</t>
        </is>
      </c>
      <c r="C16" s="15" t="inlineStr">
        <is>
          <t>Activity.weight = กิจกรรมนี้คิดเป็นกี่ % ของคะแนนวิชา (รวมทุกกิจกรรม = 100)  ส่วน AssessmentCriteria.weight = กิจกรรมนี้เอาไปวัด CLO ตัวไหนกี่ % (รวมต่อ 1 กิจกรรม = 100)  ส่วน CLO ไม่มีน้ำหนักของตัวเอง เป็นค่าที่คำนวณออกมา (CR-02)</t>
        </is>
      </c>
    </row>
    <row r="17" ht="46" customHeight="1">
      <c r="B17" s="14" t="inlineStr">
        <is>
          <t>ช่องว่าง ≠ ศูนย์</t>
        </is>
      </c>
      <c r="C17" s="15" t="inlineStr">
        <is>
          <t>ช่องคะแนนที่เว้นว่าง = ยังไม่ประเมิน จะไม่มีแถวในตาราง Score เลย  ส่วน 0 = สอบแล้วได้ 0 จริง มีแถวและถูกนำไปคำนวณ  ดูนักศึกษา 65010007 (ได้ 0 จริง) เทียบกับ 65010008 (ยังไม่ประเมินเลย)</t>
        </is>
      </c>
    </row>
    <row r="18" ht="46" customHeight="1">
      <c r="B18" s="14" t="inlineStr">
        <is>
          <t>ผลลัพธ์ไม่ถูกเก็บลงฐานข้อมูล</t>
        </is>
      </c>
      <c r="C18" s="15" t="inlineStr">
        <is>
          <t>คะแนน CLO / attainment / at-risk คำนวณสดจากตาราง Score + AssessmentCriteria ทุกครั้ง จึงไม่มีวันขัดแย้งกับคะแนนดิบ และการแก้คะแนนย้อนหลังจะสะท้อนผลทันที</t>
        </is>
      </c>
    </row>
    <row r="19" ht="46" customHeight="1">
      <c r="B19" s="14" t="inlineStr">
        <is>
          <t>สูตรในไฟล์นี้ทำงานจริง</t>
        </is>
      </c>
      <c r="C19" s="15" t="inlineStr">
        <is>
          <t>ลองแก้คะแนนใน UI-6 กรอกคะแนน แล้วดู UI-7 ผลลัพธ์ CLO เปลี่ยนตาม — เป็นสูตร Excel จริง ที่เขียนตาม CR-02 ถึง CR-05 ใน SRS ไม่ใช่ตัวเลขที่พิมพ์ทิ้งไว้</t>
        </is>
      </c>
    </row>
    <row r="20" ht="46" customHeight="1">
      <c r="B20" s="14" t="inlineStr">
        <is>
          <t>กิจกรรมที่ไม่ได้วัด CLO นั้น = ไม่มีแถว</t>
        </is>
      </c>
      <c r="C20" s="15" t="inlineStr">
        <is>
          <t>ช่อง 0 ในเมทริกซ์ UI-4 Mapping แปลว่าไม่มีความสัมพันธ์ ระบบจะไม่สร้างแถวใน AssessmentCriteria (ดูได้ว่าเมทริกซ์ 5×4 = 20 ช่อง แต่มีแถวจริงแค่ 10 แถว)</t>
        </is>
      </c>
    </row>
    <row r="22">
      <c r="B22" s="16" t="inlineStr">
        <is>
          <t>ข้อมูลทั้งหมดในไฟล์นี้เป็นข้อมูลจำลองเพื่อการอธิบาย ไม่ใช่ข้อมูลจริงของนักศึกษา · โครงสร้างอ้างอิง database/schema.prisma (single-tenant, 11 ตาราง) และกฎการคำนวณ CR-01…CR-07 ใน SRS</t>
        </is>
      </c>
    </row>
  </sheetData>
  <mergeCells count="6">
    <mergeCell ref="C20:D20"/>
    <mergeCell ref="C16:D16"/>
    <mergeCell ref="B22:D22"/>
    <mergeCell ref="C19:D19"/>
    <mergeCell ref="C18:D18"/>
    <mergeCell ref="C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0" customWidth="1" min="3" max="3"/>
    <col width="46" customWidth="1" min="4" max="4"/>
  </cols>
  <sheetData>
    <row r="1">
      <c r="A1" s="17" t="inlineStr">
        <is>
          <t>UI-1 · ตั้งค่ารายวิชา</t>
        </is>
      </c>
    </row>
    <row r="2">
      <c r="A2" s="2" t="inlineStr">
        <is>
          <t>หน้าจอแรกที่อาจารย์กรอกเมื่อเปิดวิชาใหม่ → บันทึกเป็น 1 แถวในตาราง Course</t>
        </is>
      </c>
    </row>
    <row r="4" ht="22" customHeight="1">
      <c r="B4" s="4" t="inlineStr">
        <is>
          <t>ช่องกรอกบนหน้าจอ</t>
        </is>
      </c>
      <c r="C4" s="4" t="inlineStr">
        <is>
          <t>ค่าที่กรอก (ตัวอย่าง)</t>
        </is>
      </c>
      <c r="D4" s="4" t="inlineStr">
        <is>
          <t>→ ลงคอลัมน์ใดของตาราง Course</t>
        </is>
      </c>
    </row>
    <row r="5">
      <c r="B5" s="5" t="inlineStr">
        <is>
          <t>รหัสวิชา</t>
        </is>
      </c>
      <c r="C5" s="18" t="inlineStr">
        <is>
          <t>90641002</t>
        </is>
      </c>
      <c r="D5" s="19" t="inlineStr">
        <is>
          <t>code</t>
        </is>
      </c>
    </row>
    <row r="6">
      <c r="B6" s="8" t="inlineStr">
        <is>
          <t>ชื่อวิชา (ไทย)</t>
        </is>
      </c>
      <c r="C6" s="18" t="inlineStr">
        <is>
          <t>ระบบฐานข้อมูล</t>
        </is>
      </c>
      <c r="D6" s="20" t="inlineStr">
        <is>
          <t>name</t>
        </is>
      </c>
    </row>
    <row r="7">
      <c r="B7" s="5" t="inlineStr">
        <is>
          <t>ชื่อวิชา (อังกฤษ)</t>
        </is>
      </c>
      <c r="C7" s="18" t="inlineStr">
        <is>
          <t>Database Systems</t>
        </is>
      </c>
      <c r="D7" s="19" t="inlineStr">
        <is>
          <t>nameEn</t>
        </is>
      </c>
    </row>
    <row r="8">
      <c r="B8" s="8" t="inlineStr">
        <is>
          <t>ภาคการศึกษา</t>
        </is>
      </c>
      <c r="C8" s="18" t="n">
        <v>1</v>
      </c>
      <c r="D8" s="20" t="inlineStr">
        <is>
          <t>semester</t>
        </is>
      </c>
    </row>
    <row r="9">
      <c r="B9" s="5" t="inlineStr">
        <is>
          <t>ปีการศึกษา (พ.ศ.)</t>
        </is>
      </c>
      <c r="C9" s="18" t="n">
        <v>2568</v>
      </c>
      <c r="D9" s="19" t="inlineStr">
        <is>
          <t>year</t>
        </is>
      </c>
    </row>
    <row r="10">
      <c r="B10" s="8" t="inlineStr">
        <is>
          <t>กลุ่มเรียน (Section)</t>
        </is>
      </c>
      <c r="C10" s="18" t="inlineStr">
        <is>
          <t>01</t>
        </is>
      </c>
      <c r="D10" s="20" t="inlineStr">
        <is>
          <t>section</t>
        </is>
      </c>
    </row>
    <row r="11">
      <c r="B11" s="5" t="inlineStr">
        <is>
          <t>หน่วยกิต (บรรยาย-ปฏิบัติ-ศึกษาเอง)</t>
        </is>
      </c>
      <c r="C11" s="18" t="inlineStr">
        <is>
          <t>3 (2-2-5)</t>
        </is>
      </c>
      <c r="D11" s="19" t="inlineStr">
        <is>
          <t>credits, lectureHours, practiceHours, selfStudyHours</t>
        </is>
      </c>
    </row>
    <row r="12">
      <c r="B12" s="8" t="inlineStr">
        <is>
          <t>รูปแบบการตัดเกรด</t>
        </is>
      </c>
      <c r="C12" s="18" t="inlineStr">
        <is>
          <t>LETTER</t>
        </is>
      </c>
      <c r="D12" s="20" t="inlineStr">
        <is>
          <t>gradingType</t>
        </is>
      </c>
    </row>
    <row r="13">
      <c r="B13" s="5" t="inlineStr">
        <is>
          <t>เกณฑ์ผ่านรายวิชา (%)</t>
        </is>
      </c>
      <c r="C13" s="18" t="n">
        <v>60</v>
      </c>
      <c r="D13" s="19" t="inlineStr">
        <is>
          <t>passCriteria  ← CR-05 ใช้ค่านี้</t>
        </is>
      </c>
    </row>
    <row r="14">
      <c r="B14" s="8" t="inlineStr">
        <is>
          <t>เป้าหมายระดับชั้น / Class Target (%)</t>
        </is>
      </c>
      <c r="C14" s="18" t="n">
        <v>70</v>
      </c>
      <c r="D14" s="20" t="inlineStr">
        <is>
          <t>classTarget  ← CR-04 ใช้ค่านี้</t>
        </is>
      </c>
    </row>
    <row r="16">
      <c r="B16" s="16" t="inlineStr">
        <is>
          <t>passCriteria และ classTarget เก็บ 'ราย Course' ไม่ใช่ค่ากลางของระบบ — เพื่อไม่ให้การแก้ค่ากลาง วันนี้ ย้อนไปเปลี่ยนผลว่า 'CLO บรรลุ/ไม่บรรลุ' ของเทอมที่แล้วโดยไม่มีใครรู้ (OI-03)</t>
        </is>
      </c>
    </row>
  </sheetData>
  <mergeCells count="1">
    <mergeCell ref="B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62" customWidth="1" min="4" max="4"/>
    <col width="18" customWidth="1" min="5" max="5"/>
    <col width="30" customWidth="1" min="6" max="6"/>
  </cols>
  <sheetData>
    <row r="1">
      <c r="A1" s="17" t="inlineStr">
        <is>
          <t>UI-2 · กำหนด CLO และจุดประสงค์เชิงพฤติกรรม</t>
        </is>
      </c>
    </row>
    <row r="2">
      <c r="A2" s="2" t="inlineStr">
        <is>
          <t>CLO ไม่มีช่อง 'น้ำหนัก' ให้กรอก — น้ำหนักของ CLO เป็นค่าที่คำนวณจากเมทริกซ์ใน UI-4 (CR-02)</t>
        </is>
      </c>
    </row>
    <row r="4" ht="22" customHeight="1">
      <c r="A4" s="4" t="inlineStr">
        <is>
          <t>ลำดับ</t>
        </is>
      </c>
      <c r="B4" s="4" t="inlineStr">
        <is>
          <t>cloId (ระบบสร้าง)</t>
        </is>
      </c>
      <c r="C4" s="4" t="inlineStr">
        <is>
          <t>CLO ที่</t>
        </is>
      </c>
      <c r="D4" s="4" t="inlineStr">
        <is>
          <t>คำอธิบายผลลัพธ์การเรียนรู้</t>
        </is>
      </c>
      <c r="E4" s="4" t="inlineStr">
        <is>
          <t>เกณฑ์ผ่าน (%)</t>
        </is>
      </c>
      <c r="F4" s="4" t="inlineStr">
        <is>
          <t>→ ตาราง CLO</t>
        </is>
      </c>
    </row>
    <row r="5">
      <c r="A5" s="21" t="n">
        <v>1</v>
      </c>
      <c r="B5" s="19" t="inlineStr">
        <is>
          <t>clo-01</t>
        </is>
      </c>
      <c r="C5" s="21" t="n">
        <v>1</v>
      </c>
      <c r="D5" s="22" t="inlineStr">
        <is>
          <t>ออกแบบฐานข้อมูลเชิงสัมพันธ์จากโจทย์ที่กำหนดได้</t>
        </is>
      </c>
      <c r="E5" s="23" t="n">
        <v>60</v>
      </c>
      <c r="F5" s="19" t="inlineStr">
        <is>
          <t>threshold</t>
        </is>
      </c>
    </row>
    <row r="6">
      <c r="A6" s="24" t="n">
        <v>2</v>
      </c>
      <c r="B6" s="20" t="inlineStr">
        <is>
          <t>clo-02</t>
        </is>
      </c>
      <c r="C6" s="24" t="n">
        <v>2</v>
      </c>
      <c r="D6" s="25" t="inlineStr">
        <is>
          <t>เขียนคำสั่ง SQL เพื่อสืบค้นและจัดการข้อมูลได้</t>
        </is>
      </c>
      <c r="E6" s="23" t="n">
        <v>60</v>
      </c>
      <c r="F6" s="20" t="inlineStr"/>
    </row>
    <row r="7">
      <c r="A7" s="21" t="n">
        <v>3</v>
      </c>
      <c r="B7" s="19" t="inlineStr">
        <is>
          <t>clo-03</t>
        </is>
      </c>
      <c r="C7" s="21" t="n">
        <v>3</v>
      </c>
      <c r="D7" s="22" t="inlineStr">
        <is>
          <t>ทำ Normalization ถึงระดับ 3NF ได้ถูกต้อง</t>
        </is>
      </c>
      <c r="E7" s="23" t="n">
        <v>65</v>
      </c>
      <c r="F7" s="19" t="inlineStr"/>
    </row>
    <row r="8">
      <c r="A8" s="24" t="n">
        <v>4</v>
      </c>
      <c r="B8" s="20" t="inlineStr">
        <is>
          <t>clo-04</t>
        </is>
      </c>
      <c r="C8" s="24" t="n">
        <v>4</v>
      </c>
      <c r="D8" s="25" t="inlineStr">
        <is>
          <t>ทำงานเป็นทีมและนำเสนอผลงานได้</t>
        </is>
      </c>
      <c r="E8" s="23" t="n">
        <v>60</v>
      </c>
      <c r="F8" s="20" t="inlineStr"/>
    </row>
    <row r="10">
      <c r="A10" s="16" t="inlineStr">
        <is>
          <t>เกณฑ์ผ่าน (threshold) คือเกณฑ์ราย 'นักศึกษา 1 คน' ต่อ CLO 1 ข้อ — คนละตัวกับ Class Target ที่เป็นเกณฑ์ระดับชั้นเรียนใน UI-1</t>
        </is>
      </c>
    </row>
    <row r="12">
      <c r="A12" s="3" t="inlineStr">
        <is>
          <t>จุดประสงค์เชิงพฤติกรรม (ย่อยจาก CLO)</t>
        </is>
      </c>
    </row>
    <row r="13" ht="22" customHeight="1">
      <c r="A13" s="4" t="inlineStr">
        <is>
          <t>ลำดับ</t>
        </is>
      </c>
      <c r="B13" s="4" t="inlineStr">
        <is>
          <t>objectiveId</t>
        </is>
      </c>
      <c r="C13" s="4" t="inlineStr">
        <is>
          <t>สังกัด CLO</t>
        </is>
      </c>
      <c r="D13" s="4" t="inlineStr">
        <is>
          <t>ข้อที่</t>
        </is>
      </c>
      <c r="E13" s="4" t="inlineStr">
        <is>
          <t>คำอธิบาย</t>
        </is>
      </c>
      <c r="F13" s="4" t="inlineStr">
        <is>
          <t>→ ตาราง BehavioralObjective</t>
        </is>
      </c>
    </row>
    <row r="14">
      <c r="A14" s="21" t="n">
        <v>1</v>
      </c>
      <c r="B14" s="19" t="inlineStr">
        <is>
          <t>obj-01</t>
        </is>
      </c>
      <c r="C14" s="21" t="inlineStr">
        <is>
          <t>CLO 1</t>
        </is>
      </c>
      <c r="D14" s="21" t="n">
        <v>1</v>
      </c>
      <c r="E14" s="22" t="inlineStr">
        <is>
          <t>เขียน ER-Diagram จากความต้องการของผู้ใช้ได้</t>
        </is>
      </c>
      <c r="F14" s="19" t="inlineStr">
        <is>
          <t>cloId, number, description</t>
        </is>
      </c>
    </row>
    <row r="15">
      <c r="A15" s="24" t="n">
        <v>2</v>
      </c>
      <c r="B15" s="20" t="inlineStr">
        <is>
          <t>obj-02</t>
        </is>
      </c>
      <c r="C15" s="24" t="inlineStr">
        <is>
          <t>CLO 1</t>
        </is>
      </c>
      <c r="D15" s="24" t="n">
        <v>2</v>
      </c>
      <c r="E15" s="25" t="inlineStr">
        <is>
          <t>แปลง ER-Diagram เป็นตารางเชิงสัมพันธ์ได้</t>
        </is>
      </c>
      <c r="F15" s="20" t="inlineStr"/>
    </row>
    <row r="16">
      <c r="A16" s="21" t="n">
        <v>3</v>
      </c>
      <c r="B16" s="19" t="inlineStr">
        <is>
          <t>obj-03</t>
        </is>
      </c>
      <c r="C16" s="21" t="inlineStr">
        <is>
          <t>CLO 2</t>
        </is>
      </c>
      <c r="D16" s="21" t="n">
        <v>1</v>
      </c>
      <c r="E16" s="22" t="inlineStr">
        <is>
          <t>เขียนคำสั่ง SELECT พร้อม JOIN หลายตารางได้</t>
        </is>
      </c>
      <c r="F16" s="19" t="inlineStr"/>
    </row>
    <row r="17">
      <c r="A17" s="24" t="n">
        <v>4</v>
      </c>
      <c r="B17" s="20" t="inlineStr">
        <is>
          <t>obj-04</t>
        </is>
      </c>
      <c r="C17" s="24" t="inlineStr">
        <is>
          <t>CLO 2</t>
        </is>
      </c>
      <c r="D17" s="24" t="n">
        <v>2</v>
      </c>
      <c r="E17" s="25" t="inlineStr">
        <is>
          <t>ใช้ subquery และฟังก์ชันรวม (aggregate) ได้</t>
        </is>
      </c>
      <c r="F17" s="20" t="inlineStr"/>
    </row>
    <row r="18">
      <c r="A18" s="21" t="n">
        <v>5</v>
      </c>
      <c r="B18" s="19" t="inlineStr">
        <is>
          <t>obj-05</t>
        </is>
      </c>
      <c r="C18" s="21" t="inlineStr">
        <is>
          <t>CLO 3</t>
        </is>
      </c>
      <c r="D18" s="21" t="n">
        <v>1</v>
      </c>
      <c r="E18" s="22" t="inlineStr">
        <is>
          <t>ระบุ functional dependency ของตารางได้</t>
        </is>
      </c>
      <c r="F18" s="19" t="inlineStr"/>
    </row>
    <row r="19">
      <c r="A19" s="24" t="n">
        <v>6</v>
      </c>
      <c r="B19" s="20" t="inlineStr">
        <is>
          <t>obj-06</t>
        </is>
      </c>
      <c r="C19" s="24" t="inlineStr">
        <is>
          <t>CLO 3</t>
        </is>
      </c>
      <c r="D19" s="24" t="n">
        <v>2</v>
      </c>
      <c r="E19" s="25" t="inlineStr">
        <is>
          <t>แปลงตารางให้อยู่ในรูป 3NF ได้</t>
        </is>
      </c>
      <c r="F19" s="20" t="inlineStr"/>
    </row>
    <row r="20">
      <c r="A20" s="21" t="n">
        <v>7</v>
      </c>
      <c r="B20" s="19" t="inlineStr">
        <is>
          <t>obj-07</t>
        </is>
      </c>
      <c r="C20" s="21" t="inlineStr">
        <is>
          <t>CLO 4</t>
        </is>
      </c>
      <c r="D20" s="21" t="n">
        <v>1</v>
      </c>
      <c r="E20" s="22" t="inlineStr">
        <is>
          <t>นำเสนอผลงานกลุ่มต่อชั้นเรียนได้</t>
        </is>
      </c>
      <c r="F20" s="19" t="inlineStr"/>
    </row>
    <row r="22">
      <c r="A22" s="16" t="inlineStr">
        <is>
          <t>จุดประสงค์เชิงพฤติกรรมใช้เพื่อการตามรอย (traceability) เท่านั้น ไม่มีผลต่อคะแนน CLO ที่คำนวณได้ (FR-35)</t>
        </is>
      </c>
    </row>
  </sheetData>
  <mergeCells count="2">
    <mergeCell ref="A22:F22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26" customWidth="1" min="4" max="4"/>
    <col width="14" customWidth="1" min="5" max="5"/>
    <col width="18" customWidth="1" min="6" max="6"/>
    <col width="34" customWidth="1" min="7" max="7"/>
  </cols>
  <sheetData>
    <row r="1">
      <c r="A1" s="17" t="inlineStr">
        <is>
          <t>UI-3 · กิจกรรมการประเมิน</t>
        </is>
      </c>
    </row>
    <row r="2">
      <c r="A2" s="2" t="inlineStr">
        <is>
          <t>น้ำหนักในหน้านี้คือ 'กิจกรรมนี้คิดเป็นกี่ % ของคะแนนรวมวิชา' — รวมทุกกิจกรรมต้องได้ 100 พอดี (CR-01)</t>
        </is>
      </c>
    </row>
    <row r="4" ht="22" customHeight="1">
      <c r="A4" s="4" t="inlineStr">
        <is>
          <t>ลำดับ</t>
        </is>
      </c>
      <c r="B4" s="4" t="inlineStr">
        <is>
          <t>activityId</t>
        </is>
      </c>
      <c r="C4" s="4" t="inlineStr">
        <is>
          <t>ชื่อกิจกรรม</t>
        </is>
      </c>
      <c r="D4" s="4" t="inlineStr">
        <is>
          <t>วิธีประเมิน</t>
        </is>
      </c>
      <c r="E4" s="4" t="inlineStr">
        <is>
          <t>คะแนนเต็ม</t>
        </is>
      </c>
      <c r="F4" s="4" t="inlineStr">
        <is>
          <t>น้ำหนักต่อวิชา (%)</t>
        </is>
      </c>
      <c r="G4" s="4" t="inlineStr">
        <is>
          <t>→ ตาราง Activity</t>
        </is>
      </c>
    </row>
    <row r="5">
      <c r="A5" s="21" t="n">
        <v>1</v>
      </c>
      <c r="B5" s="19" t="inlineStr">
        <is>
          <t>act-01</t>
        </is>
      </c>
      <c r="C5" s="22" t="inlineStr">
        <is>
          <t>Quiz 1 — ER Diagram</t>
        </is>
      </c>
      <c r="D5" s="22" t="inlineStr">
        <is>
          <t>สอบย่อย</t>
        </is>
      </c>
      <c r="E5" s="23" t="n">
        <v>20</v>
      </c>
      <c r="F5" s="23" t="n">
        <v>10</v>
      </c>
      <c r="G5" s="19" t="inlineStr">
        <is>
          <t>maxScore, weight</t>
        </is>
      </c>
    </row>
    <row r="6">
      <c r="A6" s="24" t="n">
        <v>2</v>
      </c>
      <c r="B6" s="20" t="inlineStr">
        <is>
          <t>act-02</t>
        </is>
      </c>
      <c r="C6" s="25" t="inlineStr">
        <is>
          <t>สอบกลางภาค</t>
        </is>
      </c>
      <c r="D6" s="25" t="inlineStr">
        <is>
          <t>สอบข้อเขียน</t>
        </is>
      </c>
      <c r="E6" s="23" t="n">
        <v>100</v>
      </c>
      <c r="F6" s="23" t="n">
        <v>30</v>
      </c>
      <c r="G6" s="20" t="inlineStr"/>
    </row>
    <row r="7">
      <c r="A7" s="21" t="n">
        <v>3</v>
      </c>
      <c r="B7" s="19" t="inlineStr">
        <is>
          <t>act-03</t>
        </is>
      </c>
      <c r="C7" s="22" t="inlineStr">
        <is>
          <t>ปฏิบัติการ SQL (Lab)</t>
        </is>
      </c>
      <c r="D7" s="22" t="inlineStr">
        <is>
          <t>ประเมินชิ้นงาน</t>
        </is>
      </c>
      <c r="E7" s="23" t="n">
        <v>50</v>
      </c>
      <c r="F7" s="23" t="n">
        <v>20</v>
      </c>
      <c r="G7" s="19" t="inlineStr"/>
    </row>
    <row r="8">
      <c r="A8" s="24" t="n">
        <v>4</v>
      </c>
      <c r="B8" s="20" t="inlineStr">
        <is>
          <t>act-04</t>
        </is>
      </c>
      <c r="C8" s="25" t="inlineStr">
        <is>
          <t>โปรเจกต์กลุ่ม</t>
        </is>
      </c>
      <c r="D8" s="25" t="inlineStr">
        <is>
          <t>ประเมินชิ้นงาน + นำเสนอ</t>
        </is>
      </c>
      <c r="E8" s="23" t="n">
        <v>100</v>
      </c>
      <c r="F8" s="23" t="n">
        <v>25</v>
      </c>
      <c r="G8" s="20" t="inlineStr"/>
    </row>
    <row r="9">
      <c r="A9" s="21" t="n">
        <v>5</v>
      </c>
      <c r="B9" s="19" t="inlineStr">
        <is>
          <t>act-05</t>
        </is>
      </c>
      <c r="C9" s="22" t="inlineStr">
        <is>
          <t>สอบปลายภาค</t>
        </is>
      </c>
      <c r="D9" s="22" t="inlineStr">
        <is>
          <t>สอบข้อเขียน</t>
        </is>
      </c>
      <c r="E9" s="23" t="n">
        <v>100</v>
      </c>
      <c r="F9" s="23" t="n">
        <v>15</v>
      </c>
      <c r="G9" s="19" t="inlineStr"/>
    </row>
    <row r="10">
      <c r="C10" s="26" t="inlineStr">
        <is>
          <t>รวมน้ำหนักทุกกิจกรรม</t>
        </is>
      </c>
      <c r="F10" s="27">
        <f>SUM(F5:F9)</f>
        <v/>
      </c>
      <c r="G10" s="28">
        <f>IF(F10=100,"ถูกต้อง — ครบ 100","ผิดกฎ CR-01 — ต้องได้ 100")</f>
        <v/>
      </c>
    </row>
    <row r="12">
      <c r="A12" s="16" t="inlineStr">
        <is>
          <t>คะแนนเต็ม (maxScore) ต้องมากกว่า 0 เสมอ เพราะทุกสูตรคำนวณ CLO ต้องเอาคะแนนหารด้วยค่านี้ — ฐานข้อมูลบังคับด้วย CHECK constraint (DC-03)</t>
        </is>
      </c>
    </row>
  </sheetData>
  <mergeCells count="1">
    <mergeCell ref="A12:G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4" customWidth="1" min="7" max="7"/>
    <col width="30" customWidth="1" min="8" max="8"/>
  </cols>
  <sheetData>
    <row r="1">
      <c r="A1" s="17" t="inlineStr">
        <is>
          <t>UI-4 · เมทริกซ์น้ำหนัก  กิจกรรม × CLO</t>
        </is>
      </c>
    </row>
    <row r="2">
      <c r="A2" s="2" t="inlineStr">
        <is>
          <t>กรอกว่า 'กิจกรรมนี้ เอาไปวัด CLO ตัวไหน กี่ %' — แต่ละแถวต้องรวมได้ 100  ·  ช่อง 0 = ไม่ได้วัด CLO นั้น จะไม่มีแถวในตาราง AssessmentCriteria</t>
        </is>
      </c>
    </row>
    <row r="4" ht="22" customHeight="1">
      <c r="A4" s="4" t="inlineStr">
        <is>
          <t>ลำดับ</t>
        </is>
      </c>
      <c r="B4" s="4" t="inlineStr">
        <is>
          <t>กิจกรรม \ CLO</t>
        </is>
      </c>
      <c r="C4" s="4" t="inlineStr">
        <is>
          <t>CLO 1</t>
        </is>
      </c>
      <c r="D4" s="4" t="inlineStr">
        <is>
          <t>CLO 2</t>
        </is>
      </c>
      <c r="E4" s="4" t="inlineStr">
        <is>
          <t>CLO 3</t>
        </is>
      </c>
      <c r="F4" s="4" t="inlineStr">
        <is>
          <t>CLO 4</t>
        </is>
      </c>
      <c r="G4" s="4" t="inlineStr">
        <is>
          <t>รวมแถว</t>
        </is>
      </c>
      <c r="H4" s="4" t="inlineStr">
        <is>
          <t>สถานะ (ต้องรวม = 100)</t>
        </is>
      </c>
    </row>
    <row r="5">
      <c r="A5" s="21" t="n">
        <v>1</v>
      </c>
      <c r="B5" s="5" t="inlineStr">
        <is>
          <t>Quiz 1 — ER Diagram</t>
        </is>
      </c>
      <c r="C5" s="23" t="n">
        <v>100</v>
      </c>
      <c r="D5" s="29" t="n">
        <v>0</v>
      </c>
      <c r="E5" s="29" t="n">
        <v>0</v>
      </c>
      <c r="F5" s="29" t="n">
        <v>0</v>
      </c>
      <c r="G5" s="30">
        <f>SUM(C5:F5)</f>
        <v/>
      </c>
      <c r="H5" s="31">
        <f>IF(G5=100,"ครบ 100","ผิด — ได้ "&amp;G5)</f>
        <v/>
      </c>
    </row>
    <row r="6">
      <c r="A6" s="24" t="n">
        <v>2</v>
      </c>
      <c r="B6" s="8" t="inlineStr">
        <is>
          <t>สอบกลางภาค</t>
        </is>
      </c>
      <c r="C6" s="23" t="n">
        <v>40</v>
      </c>
      <c r="D6" s="23" t="n">
        <v>60</v>
      </c>
      <c r="E6" s="29" t="n">
        <v>0</v>
      </c>
      <c r="F6" s="29" t="n">
        <v>0</v>
      </c>
      <c r="G6" s="32">
        <f>SUM(C6:F6)</f>
        <v/>
      </c>
      <c r="H6" s="33">
        <f>IF(G6=100,"ครบ 100","ผิด — ได้ "&amp;G6)</f>
        <v/>
      </c>
    </row>
    <row r="7">
      <c r="A7" s="21" t="n">
        <v>3</v>
      </c>
      <c r="B7" s="5" t="inlineStr">
        <is>
          <t>ปฏิบัติการ SQL (Lab)</t>
        </is>
      </c>
      <c r="C7" s="29" t="n">
        <v>0</v>
      </c>
      <c r="D7" s="23" t="n">
        <v>70</v>
      </c>
      <c r="E7" s="23" t="n">
        <v>30</v>
      </c>
      <c r="F7" s="29" t="n">
        <v>0</v>
      </c>
      <c r="G7" s="30">
        <f>SUM(C7:F7)</f>
        <v/>
      </c>
      <c r="H7" s="31">
        <f>IF(G7=100,"ครบ 100","ผิด — ได้ "&amp;G7)</f>
        <v/>
      </c>
    </row>
    <row r="8">
      <c r="A8" s="24" t="n">
        <v>4</v>
      </c>
      <c r="B8" s="8" t="inlineStr">
        <is>
          <t>โปรเจกต์กลุ่ม</t>
        </is>
      </c>
      <c r="C8" s="23" t="n">
        <v>20</v>
      </c>
      <c r="D8" s="29" t="n">
        <v>0</v>
      </c>
      <c r="E8" s="23" t="n">
        <v>40</v>
      </c>
      <c r="F8" s="23" t="n">
        <v>40</v>
      </c>
      <c r="G8" s="32">
        <f>SUM(C8:F8)</f>
        <v/>
      </c>
      <c r="H8" s="33">
        <f>IF(G8=100,"ครบ 100","ผิด — ได้ "&amp;G8)</f>
        <v/>
      </c>
    </row>
    <row r="9">
      <c r="A9" s="21" t="n">
        <v>5</v>
      </c>
      <c r="B9" s="5" t="inlineStr">
        <is>
          <t>สอบปลายภาค</t>
        </is>
      </c>
      <c r="C9" s="29" t="n">
        <v>0</v>
      </c>
      <c r="D9" s="23" t="n">
        <v>50</v>
      </c>
      <c r="E9" s="23" t="n">
        <v>50</v>
      </c>
      <c r="F9" s="29" t="n">
        <v>0</v>
      </c>
      <c r="G9" s="30">
        <f>SUM(C9:F9)</f>
        <v/>
      </c>
      <c r="H9" s="31">
        <f>IF(G9=100,"ครบ 100","ผิด — ได้ "&amp;G9)</f>
        <v/>
      </c>
    </row>
    <row r="11">
      <c r="B11" s="11" t="inlineStr">
        <is>
          <t>น้ำหนักของ CLO (CR-02) %</t>
        </is>
      </c>
      <c r="C11" s="34">
        <f>SUMPRODUCT('UI-3 กิจกรรม'!$F$5:$F$9,C5:C9)/100</f>
        <v/>
      </c>
      <c r="D11" s="34">
        <f>SUMPRODUCT('UI-3 กิจกรรม'!$F$5:$F$9,D5:D9)/100</f>
        <v/>
      </c>
      <c r="E11" s="34">
        <f>SUMPRODUCT('UI-3 กิจกรรม'!$F$5:$F$9,E5:E9)/100</f>
        <v/>
      </c>
      <c r="F11" s="34">
        <f>SUMPRODUCT('UI-3 กิจกรรม'!$F$5:$F$9,F5:F9)/100</f>
        <v/>
      </c>
      <c r="G11" s="34">
        <f>SUM(C11:F11)</f>
        <v/>
      </c>
      <c r="H11" s="35" t="inlineStr">
        <is>
          <t>รวมต้องได้ 100 อัตโนมัติ</t>
        </is>
      </c>
    </row>
    <row r="13">
      <c r="A13" s="16" t="inlineStr">
        <is>
          <t>แถวสีเขียวคือค่าที่ 'คำนวณได้' ไม่ใช่ค่าที่กรอก — CLO ไม่มีคอลัมน์ weight ในฐานข้อมูล ถ้าเก็บไว้ซ้ำจะมีวันที่ค่าสองที่ไม่ตรงกัน (OI-02)</t>
        </is>
      </c>
    </row>
    <row r="15">
      <c r="A15" s="36" t="inlineStr">
        <is>
          <t>เมทริกซ์ 5×4 = 20 ช่อง  แต่มีแถวจริงในตาราง AssessmentCriteria เพียง 10 แถว (เฉพาะช่องที่ &gt; 0)</t>
        </is>
      </c>
    </row>
  </sheetData>
  <mergeCells count="1">
    <mergeCell ref="A13:G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4" customWidth="1" min="4" max="4"/>
    <col width="40" customWidth="1" min="5" max="5"/>
  </cols>
  <sheetData>
    <row r="1">
      <c r="A1" s="17" t="inlineStr">
        <is>
          <t>UI-5 · รายชื่อนักศึกษาในรายวิชา</t>
        </is>
      </c>
    </row>
    <row r="2">
      <c r="A2" s="2" t="inlineStr">
        <is>
          <t>1 แถว = 1 การลงทะเบียน ไม่ใช่ 1 คน — คนเดียวกันลงเรียน 3 วิชา จะมี 3 แถว ชื่อซ้ำกันโดยตั้งใจ</t>
        </is>
      </c>
    </row>
    <row r="4" ht="22" customHeight="1">
      <c r="A4" s="4" t="inlineStr">
        <is>
          <t>ลำดับ</t>
        </is>
      </c>
      <c r="B4" s="4" t="inlineStr">
        <is>
          <t>studentId</t>
        </is>
      </c>
      <c r="C4" s="4" t="inlineStr">
        <is>
          <t>รหัสนักศึกษา</t>
        </is>
      </c>
      <c r="D4" s="4" t="inlineStr">
        <is>
          <t>ชื่อ-นามสกุล</t>
        </is>
      </c>
      <c r="E4" s="4" t="inlineStr">
        <is>
          <t>→ ตาราง Student</t>
        </is>
      </c>
    </row>
    <row r="5">
      <c r="A5" s="21" t="n">
        <v>1</v>
      </c>
      <c r="B5" s="19" t="inlineStr">
        <is>
          <t>std-01</t>
        </is>
      </c>
      <c r="C5" s="37" t="inlineStr">
        <is>
          <t>65010001</t>
        </is>
      </c>
      <c r="D5" s="38" t="inlineStr">
        <is>
          <t>นายกิตติพงษ์ แสงทอง</t>
        </is>
      </c>
      <c r="E5" s="19" t="inlineStr">
        <is>
          <t>studentCode, name, courseId</t>
        </is>
      </c>
    </row>
    <row r="6">
      <c r="A6" s="24" t="n">
        <v>2</v>
      </c>
      <c r="B6" s="20" t="inlineStr">
        <is>
          <t>std-02</t>
        </is>
      </c>
      <c r="C6" s="37" t="inlineStr">
        <is>
          <t>65010002</t>
        </is>
      </c>
      <c r="D6" s="38" t="inlineStr">
        <is>
          <t>นางสาวจิราพร มีสุข</t>
        </is>
      </c>
      <c r="E6" s="20" t="inlineStr"/>
    </row>
    <row r="7">
      <c r="A7" s="21" t="n">
        <v>3</v>
      </c>
      <c r="B7" s="19" t="inlineStr">
        <is>
          <t>std-03</t>
        </is>
      </c>
      <c r="C7" s="37" t="inlineStr">
        <is>
          <t>65010003</t>
        </is>
      </c>
      <c r="D7" s="38" t="inlineStr">
        <is>
          <t>นายธนกร ศรีสุข</t>
        </is>
      </c>
      <c r="E7" s="19" t="inlineStr"/>
    </row>
    <row r="8">
      <c r="A8" s="24" t="n">
        <v>4</v>
      </c>
      <c r="B8" s="20" t="inlineStr">
        <is>
          <t>std-04</t>
        </is>
      </c>
      <c r="C8" s="37" t="inlineStr">
        <is>
          <t>65010004</t>
        </is>
      </c>
      <c r="D8" s="38" t="inlineStr">
        <is>
          <t>นางสาวปาริชาติ วงศ์ดี</t>
        </is>
      </c>
      <c r="E8" s="20" t="inlineStr"/>
    </row>
    <row r="9">
      <c r="A9" s="21" t="n">
        <v>5</v>
      </c>
      <c r="B9" s="19" t="inlineStr">
        <is>
          <t>std-05</t>
        </is>
      </c>
      <c r="C9" s="37" t="inlineStr">
        <is>
          <t>65010005</t>
        </is>
      </c>
      <c r="D9" s="38" t="inlineStr">
        <is>
          <t>นายภานุวัฒน์ ทองสุข</t>
        </is>
      </c>
      <c r="E9" s="19" t="inlineStr"/>
    </row>
    <row r="10">
      <c r="A10" s="24" t="n">
        <v>6</v>
      </c>
      <c r="B10" s="20" t="inlineStr">
        <is>
          <t>std-06</t>
        </is>
      </c>
      <c r="C10" s="37" t="inlineStr">
        <is>
          <t>65010006</t>
        </is>
      </c>
      <c r="D10" s="38" t="inlineStr">
        <is>
          <t>นางสาวรัตนาภรณ์ ใจงาม</t>
        </is>
      </c>
      <c r="E10" s="20" t="inlineStr"/>
    </row>
    <row r="11">
      <c r="A11" s="21" t="n">
        <v>7</v>
      </c>
      <c r="B11" s="19" t="inlineStr">
        <is>
          <t>std-07</t>
        </is>
      </c>
      <c r="C11" s="37" t="inlineStr">
        <is>
          <t>65010007</t>
        </is>
      </c>
      <c r="D11" s="38" t="inlineStr">
        <is>
          <t>นายวรวุฒิ ชัยมงคล</t>
        </is>
      </c>
      <c r="E11" s="19" t="inlineStr"/>
    </row>
    <row r="12">
      <c r="A12" s="24" t="n">
        <v>8</v>
      </c>
      <c r="B12" s="20" t="inlineStr">
        <is>
          <t>std-08</t>
        </is>
      </c>
      <c r="C12" s="37" t="inlineStr">
        <is>
          <t>65010008</t>
        </is>
      </c>
      <c r="D12" s="38" t="inlineStr">
        <is>
          <t>นางสาวศิริพร แก้วมณี</t>
        </is>
      </c>
      <c r="E12" s="20" t="inlineStr"/>
    </row>
    <row r="14">
      <c r="A14" s="16" t="inlineStr">
        <is>
          <t>รหัสนักศึกษาห้ามซ้ำ 'ภายในวิชาเดียวกัน' (FR-51) แต่ซ้ำข้ามวิชาได้ เพราะนั่นคือคนเดิมลงเรียนอีกวิชา</t>
        </is>
      </c>
    </row>
  </sheetData>
  <mergeCells count="1">
    <mergeCell ref="A14:E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34" customWidth="1" min="9" max="9"/>
  </cols>
  <sheetData>
    <row r="1">
      <c r="A1" s="17" t="inlineStr">
        <is>
          <t>UI-6 · กรอกคะแนนรายกิจกรรม</t>
        </is>
      </c>
    </row>
    <row r="2">
      <c r="A2" s="2" t="inlineStr">
        <is>
          <t>คอลัมน์เป็น 'กิจกรรม' ไม่ใช่ CLO (FR-60) — เว้นว่าง = ยังไม่ประเมิน · 0 = ได้ 0 คะแนนจริง</t>
        </is>
      </c>
    </row>
    <row r="4" ht="32" customHeight="1">
      <c r="A4" s="4" t="inlineStr">
        <is>
          <t>ลำดับ</t>
        </is>
      </c>
      <c r="B4" s="4" t="inlineStr">
        <is>
          <t>รหัสนักศึกษา</t>
        </is>
      </c>
      <c r="C4" s="4" t="inlineStr">
        <is>
          <t>ชื่อ-นามสกุล</t>
        </is>
      </c>
      <c r="D4" s="4">
        <f>'UI-3 กิจกรรม'!C5&amp;" (เต็ม "&amp;'UI-3 กิจกรรม'!E5&amp;")"</f>
        <v/>
      </c>
      <c r="E4" s="4">
        <f>'UI-3 กิจกรรม'!C6&amp;" (เต็ม "&amp;'UI-3 กิจกรรม'!E6&amp;")"</f>
        <v/>
      </c>
      <c r="F4" s="4">
        <f>'UI-3 กิจกรรม'!C7&amp;" (เต็ม "&amp;'UI-3 กิจกรรม'!E7&amp;")"</f>
        <v/>
      </c>
      <c r="G4" s="4">
        <f>'UI-3 กิจกรรม'!C8&amp;" (เต็ม "&amp;'UI-3 กิจกรรม'!E8&amp;")"</f>
        <v/>
      </c>
      <c r="H4" s="4">
        <f>'UI-3 กิจกรรม'!C9&amp;" (เต็ม "&amp;'UI-3 กิจกรรม'!E9&amp;")"</f>
        <v/>
      </c>
      <c r="I4" s="4" t="inlineStr">
        <is>
          <t>→ ตาราง Score</t>
        </is>
      </c>
    </row>
    <row r="5">
      <c r="A5" s="21" t="n">
        <v>1</v>
      </c>
      <c r="B5" s="39" t="inlineStr">
        <is>
          <t>65010001</t>
        </is>
      </c>
      <c r="C5" s="22" t="inlineStr">
        <is>
          <t>นายกิตติพงษ์ แสงทอง</t>
        </is>
      </c>
      <c r="D5" s="23" t="n">
        <v>18</v>
      </c>
      <c r="E5" s="23" t="n">
        <v>85</v>
      </c>
      <c r="F5" s="23" t="n">
        <v>45</v>
      </c>
      <c r="G5" s="23" t="n">
        <v>88</v>
      </c>
      <c r="H5" s="23" t="n">
        <v>82</v>
      </c>
      <c r="I5" s="40" t="inlineStr">
        <is>
          <t>5 แถว — ครบทุกกิจกรรม</t>
        </is>
      </c>
    </row>
    <row r="6">
      <c r="A6" s="24" t="n">
        <v>2</v>
      </c>
      <c r="B6" s="41" t="inlineStr">
        <is>
          <t>65010002</t>
        </is>
      </c>
      <c r="C6" s="25" t="inlineStr">
        <is>
          <t>นางสาวจิราพร มีสุข</t>
        </is>
      </c>
      <c r="D6" s="23" t="n">
        <v>15</v>
      </c>
      <c r="E6" s="23" t="n">
        <v>70</v>
      </c>
      <c r="F6" s="23" t="n">
        <v>38</v>
      </c>
      <c r="G6" s="23" t="n">
        <v>75</v>
      </c>
      <c r="H6" s="23" t="n">
        <v>68</v>
      </c>
      <c r="I6" s="42" t="inlineStr">
        <is>
          <t>5 แถว — ครบทุกกิจกรรม</t>
        </is>
      </c>
    </row>
    <row r="7">
      <c r="A7" s="21" t="n">
        <v>3</v>
      </c>
      <c r="B7" s="39" t="inlineStr">
        <is>
          <t>65010003</t>
        </is>
      </c>
      <c r="C7" s="22" t="inlineStr">
        <is>
          <t>นายธนกร ศรีสุข</t>
        </is>
      </c>
      <c r="D7" s="23" t="n">
        <v>12</v>
      </c>
      <c r="E7" s="23" t="n">
        <v>55</v>
      </c>
      <c r="F7" s="23" t="n">
        <v>30</v>
      </c>
      <c r="G7" s="23" t="n">
        <v>62</v>
      </c>
      <c r="H7" s="23" t="n">
        <v>58</v>
      </c>
      <c r="I7" s="40" t="inlineStr">
        <is>
          <t>5 แถว — ครบทุกกิจกรรม</t>
        </is>
      </c>
    </row>
    <row r="8">
      <c r="A8" s="24" t="n">
        <v>4</v>
      </c>
      <c r="B8" s="41" t="inlineStr">
        <is>
          <t>65010004</t>
        </is>
      </c>
      <c r="C8" s="25" t="inlineStr">
        <is>
          <t>นางสาวปาริชาติ วงศ์ดี</t>
        </is>
      </c>
      <c r="D8" s="23" t="n">
        <v>8</v>
      </c>
      <c r="E8" s="23" t="n">
        <v>42</v>
      </c>
      <c r="F8" s="23" t="n">
        <v>22</v>
      </c>
      <c r="G8" s="23" t="n">
        <v>55</v>
      </c>
      <c r="H8" s="23" t="n">
        <v>40</v>
      </c>
      <c r="I8" s="42" t="inlineStr">
        <is>
          <t>5 แถว — ครบทุกกิจกรรม</t>
        </is>
      </c>
    </row>
    <row r="9">
      <c r="A9" s="21" t="n">
        <v>5</v>
      </c>
      <c r="B9" s="39" t="inlineStr">
        <is>
          <t>65010005</t>
        </is>
      </c>
      <c r="C9" s="22" t="inlineStr">
        <is>
          <t>นายภานุวัฒน์ ทองสุข</t>
        </is>
      </c>
      <c r="D9" s="23" t="n">
        <v>20</v>
      </c>
      <c r="E9" s="23" t="n">
        <v>92</v>
      </c>
      <c r="F9" s="23" t="n">
        <v>48</v>
      </c>
      <c r="G9" s="23" t="n">
        <v>95</v>
      </c>
      <c r="H9" s="23" t="n">
        <v>90</v>
      </c>
      <c r="I9" s="40" t="inlineStr">
        <is>
          <t>5 แถว — ครบทุกกิจกรรม</t>
        </is>
      </c>
    </row>
    <row r="10">
      <c r="A10" s="24" t="n">
        <v>6</v>
      </c>
      <c r="B10" s="41" t="inlineStr">
        <is>
          <t>65010006</t>
        </is>
      </c>
      <c r="C10" s="25" t="inlineStr">
        <is>
          <t>นางสาวรัตนาภรณ์ ใจงาม</t>
        </is>
      </c>
      <c r="D10" s="23" t="n">
        <v>14</v>
      </c>
      <c r="E10" s="23" t="n">
        <v>65</v>
      </c>
      <c r="F10" s="43" t="n"/>
      <c r="G10" s="23" t="n">
        <v>70</v>
      </c>
      <c r="H10" s="23" t="n">
        <v>60</v>
      </c>
      <c r="I10" s="42" t="inlineStr">
        <is>
          <t>4 แถว — ยังไม่ประเมิน 1 กิจกรรม</t>
        </is>
      </c>
    </row>
    <row r="11">
      <c r="A11" s="21" t="n">
        <v>7</v>
      </c>
      <c r="B11" s="39" t="inlineStr">
        <is>
          <t>65010007</t>
        </is>
      </c>
      <c r="C11" s="22" t="inlineStr">
        <is>
          <t>นายวรวุฒิ ชัยมงคล</t>
        </is>
      </c>
      <c r="D11" s="23" t="n">
        <v>0</v>
      </c>
      <c r="E11" s="23" t="n">
        <v>38</v>
      </c>
      <c r="F11" s="23" t="n">
        <v>20</v>
      </c>
      <c r="G11" s="23" t="n">
        <v>50</v>
      </c>
      <c r="H11" s="23" t="n">
        <v>35</v>
      </c>
      <c r="I11" s="40" t="inlineStr">
        <is>
          <t>5 แถว — ครบทุกกิจกรรม</t>
        </is>
      </c>
    </row>
    <row r="12">
      <c r="A12" s="24" t="n">
        <v>8</v>
      </c>
      <c r="B12" s="41" t="inlineStr">
        <is>
          <t>65010008</t>
        </is>
      </c>
      <c r="C12" s="25" t="inlineStr">
        <is>
          <t>นางสาวศิริพร แก้วมณี</t>
        </is>
      </c>
      <c r="D12" s="43" t="n"/>
      <c r="E12" s="43" t="n"/>
      <c r="F12" s="43" t="n"/>
      <c r="G12" s="43" t="n"/>
      <c r="H12" s="43" t="n"/>
      <c r="I12" s="42" t="inlineStr">
        <is>
          <t>0 แถว — ยังไม่ประเมิน 5 กิจกรรม</t>
        </is>
      </c>
    </row>
    <row r="14">
      <c r="A14" s="16" t="inlineStr">
        <is>
          <t>กรอกไป 34 ช่อง จากทั้งหมด 40 ช่อง → ตาราง Score จึงมี 34 แถว ไม่ใช่ 40 แถว เพราะช่องว่างไม่สร้างแถว (FR-62)</t>
        </is>
      </c>
    </row>
    <row r="15">
      <c r="A15" s="44" t="inlineStr">
        <is>
          <t>ลองแก้ตัวเลขในหน้านี้ แล้วเปิดหน้า UI-7 ผลลัพธ์ CLO — คะแนน CLO และผลการบรรลุจะเปลี่ยนตามทันที</t>
        </is>
      </c>
    </row>
  </sheetData>
  <mergeCells count="2">
    <mergeCell ref="A14:F14"/>
    <mergeCell ref="A15:F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6" customWidth="1" min="9" max="9"/>
    <col width="13" customWidth="1" min="10" max="10"/>
    <col width="16" customWidth="1" min="11" max="11"/>
    <col width="22" customWidth="1" min="12" max="12"/>
  </cols>
  <sheetData>
    <row r="1">
      <c r="A1" s="45" t="inlineStr">
        <is>
          <t>UI-7 · ผลลัพธ์การบรรลุ CLO  (ระบบคำนวณให้ ไม่มีการกรอก)</t>
        </is>
      </c>
    </row>
    <row r="2">
      <c r="A2" s="2" t="inlineStr">
        <is>
          <t>ทุกตัวเลขในหน้านี้ 'ไม่ถูกเก็บลงฐานข้อมูล' — คำนวณสดจากตาราง Score + AssessmentCriteria ทุกครั้ง  ·  สูตรตาม CR-02 ถึง CR-05 ใน SRS</t>
        </is>
      </c>
    </row>
    <row r="4">
      <c r="A4" s="3" t="inlineStr">
        <is>
          <t>ขั้นที่ 1 — สัดส่วนคะแนนที่ได้ (score ÷ maxScore) · ช่องที่ยังไม่ประเมินให้เป็น 0</t>
        </is>
      </c>
    </row>
    <row r="5" ht="22" customHeight="1">
      <c r="A5" s="46" t="inlineStr">
        <is>
          <t>ลำดับ</t>
        </is>
      </c>
      <c r="B5" s="46" t="inlineStr">
        <is>
          <t>รหัส</t>
        </is>
      </c>
      <c r="C5" s="46" t="inlineStr">
        <is>
          <t>ชื่อ-นามสกุล</t>
        </is>
      </c>
      <c r="D5" s="46" t="inlineStr">
        <is>
          <t>Quiz 1 — ER Diagram</t>
        </is>
      </c>
      <c r="E5" s="46" t="inlineStr">
        <is>
          <t>สอบกลางภาค</t>
        </is>
      </c>
      <c r="F5" s="46" t="inlineStr">
        <is>
          <t>ปฏิบัติการ SQL (Lab)</t>
        </is>
      </c>
      <c r="G5" s="46" t="inlineStr">
        <is>
          <t>โปรเจกต์กลุ่ม</t>
        </is>
      </c>
      <c r="H5" s="46" t="inlineStr">
        <is>
          <t>สอบปลายภาค</t>
        </is>
      </c>
    </row>
    <row r="6">
      <c r="A6" s="21" t="n">
        <v>1</v>
      </c>
      <c r="B6" s="39" t="inlineStr">
        <is>
          <t>65010001</t>
        </is>
      </c>
      <c r="C6" s="22" t="inlineStr">
        <is>
          <t>นายกิตติพงษ์ แสงทอง</t>
        </is>
      </c>
      <c r="D6" s="47">
        <f>IF('UI-6 กรอกคะแนน'!D5="",0,'UI-6 กรอกคะแนน'!D5/'UI-3 กิจกรรม'!$E$5)</f>
        <v/>
      </c>
      <c r="E6" s="47">
        <f>IF('UI-6 กรอกคะแนน'!E5="",0,'UI-6 กรอกคะแนน'!E5/'UI-3 กิจกรรม'!$E$6)</f>
        <v/>
      </c>
      <c r="F6" s="47">
        <f>IF('UI-6 กรอกคะแนน'!F5="",0,'UI-6 กรอกคะแนน'!F5/'UI-3 กิจกรรม'!$E$7)</f>
        <v/>
      </c>
      <c r="G6" s="47">
        <f>IF('UI-6 กรอกคะแนน'!G5="",0,'UI-6 กรอกคะแนน'!G5/'UI-3 กิจกรรม'!$E$8)</f>
        <v/>
      </c>
      <c r="H6" s="47">
        <f>IF('UI-6 กรอกคะแนน'!H5="",0,'UI-6 กรอกคะแนน'!H5/'UI-3 กิจกรรม'!$E$9)</f>
        <v/>
      </c>
    </row>
    <row r="7">
      <c r="A7" s="24" t="n">
        <v>2</v>
      </c>
      <c r="B7" s="41" t="inlineStr">
        <is>
          <t>65010002</t>
        </is>
      </c>
      <c r="C7" s="25" t="inlineStr">
        <is>
          <t>นางสาวจิราพร มีสุข</t>
        </is>
      </c>
      <c r="D7" s="48">
        <f>IF('UI-6 กรอกคะแนน'!D6="",0,'UI-6 กรอกคะแนน'!D6/'UI-3 กิจกรรม'!$E$5)</f>
        <v/>
      </c>
      <c r="E7" s="48">
        <f>IF('UI-6 กรอกคะแนน'!E6="",0,'UI-6 กรอกคะแนน'!E6/'UI-3 กิจกรรม'!$E$6)</f>
        <v/>
      </c>
      <c r="F7" s="48">
        <f>IF('UI-6 กรอกคะแนน'!F6="",0,'UI-6 กรอกคะแนน'!F6/'UI-3 กิจกรรม'!$E$7)</f>
        <v/>
      </c>
      <c r="G7" s="48">
        <f>IF('UI-6 กรอกคะแนน'!G6="",0,'UI-6 กรอกคะแนน'!G6/'UI-3 กิจกรรม'!$E$8)</f>
        <v/>
      </c>
      <c r="H7" s="48">
        <f>IF('UI-6 กรอกคะแนน'!H6="",0,'UI-6 กรอกคะแนน'!H6/'UI-3 กิจกรรม'!$E$9)</f>
        <v/>
      </c>
    </row>
    <row r="8">
      <c r="A8" s="21" t="n">
        <v>3</v>
      </c>
      <c r="B8" s="39" t="inlineStr">
        <is>
          <t>65010003</t>
        </is>
      </c>
      <c r="C8" s="22" t="inlineStr">
        <is>
          <t>นายธนกร ศรีสุข</t>
        </is>
      </c>
      <c r="D8" s="47">
        <f>IF('UI-6 กรอกคะแนน'!D7="",0,'UI-6 กรอกคะแนน'!D7/'UI-3 กิจกรรม'!$E$5)</f>
        <v/>
      </c>
      <c r="E8" s="47">
        <f>IF('UI-6 กรอกคะแนน'!E7="",0,'UI-6 กรอกคะแนน'!E7/'UI-3 กิจกรรม'!$E$6)</f>
        <v/>
      </c>
      <c r="F8" s="47">
        <f>IF('UI-6 กรอกคะแนน'!F7="",0,'UI-6 กรอกคะแนน'!F7/'UI-3 กิจกรรม'!$E$7)</f>
        <v/>
      </c>
      <c r="G8" s="47">
        <f>IF('UI-6 กรอกคะแนน'!G7="",0,'UI-6 กรอกคะแนน'!G7/'UI-3 กิจกรรม'!$E$8)</f>
        <v/>
      </c>
      <c r="H8" s="47">
        <f>IF('UI-6 กรอกคะแนน'!H7="",0,'UI-6 กรอกคะแนน'!H7/'UI-3 กิจกรรม'!$E$9)</f>
        <v/>
      </c>
    </row>
    <row r="9">
      <c r="A9" s="24" t="n">
        <v>4</v>
      </c>
      <c r="B9" s="41" t="inlineStr">
        <is>
          <t>65010004</t>
        </is>
      </c>
      <c r="C9" s="25" t="inlineStr">
        <is>
          <t>นางสาวปาริชาติ วงศ์ดี</t>
        </is>
      </c>
      <c r="D9" s="48">
        <f>IF('UI-6 กรอกคะแนน'!D8="",0,'UI-6 กรอกคะแนน'!D8/'UI-3 กิจกรรม'!$E$5)</f>
        <v/>
      </c>
      <c r="E9" s="48">
        <f>IF('UI-6 กรอกคะแนน'!E8="",0,'UI-6 กรอกคะแนน'!E8/'UI-3 กิจกรรม'!$E$6)</f>
        <v/>
      </c>
      <c r="F9" s="48">
        <f>IF('UI-6 กรอกคะแนน'!F8="",0,'UI-6 กรอกคะแนน'!F8/'UI-3 กิจกรรม'!$E$7)</f>
        <v/>
      </c>
      <c r="G9" s="48">
        <f>IF('UI-6 กรอกคะแนน'!G8="",0,'UI-6 กรอกคะแนน'!G8/'UI-3 กิจกรรม'!$E$8)</f>
        <v/>
      </c>
      <c r="H9" s="48">
        <f>IF('UI-6 กรอกคะแนน'!H8="",0,'UI-6 กรอกคะแนน'!H8/'UI-3 กิจกรรม'!$E$9)</f>
        <v/>
      </c>
    </row>
    <row r="10">
      <c r="A10" s="21" t="n">
        <v>5</v>
      </c>
      <c r="B10" s="39" t="inlineStr">
        <is>
          <t>65010005</t>
        </is>
      </c>
      <c r="C10" s="22" t="inlineStr">
        <is>
          <t>นายภานุวัฒน์ ทองสุข</t>
        </is>
      </c>
      <c r="D10" s="47">
        <f>IF('UI-6 กรอกคะแนน'!D9="",0,'UI-6 กรอกคะแนน'!D9/'UI-3 กิจกรรม'!$E$5)</f>
        <v/>
      </c>
      <c r="E10" s="47">
        <f>IF('UI-6 กรอกคะแนน'!E9="",0,'UI-6 กรอกคะแนน'!E9/'UI-3 กิจกรรม'!$E$6)</f>
        <v/>
      </c>
      <c r="F10" s="47">
        <f>IF('UI-6 กรอกคะแนน'!F9="",0,'UI-6 กรอกคะแนน'!F9/'UI-3 กิจกรรม'!$E$7)</f>
        <v/>
      </c>
      <c r="G10" s="47">
        <f>IF('UI-6 กรอกคะแนน'!G9="",0,'UI-6 กรอกคะแนน'!G9/'UI-3 กิจกรรม'!$E$8)</f>
        <v/>
      </c>
      <c r="H10" s="47">
        <f>IF('UI-6 กรอกคะแนน'!H9="",0,'UI-6 กรอกคะแนน'!H9/'UI-3 กิจกรรม'!$E$9)</f>
        <v/>
      </c>
    </row>
    <row r="11">
      <c r="A11" s="24" t="n">
        <v>6</v>
      </c>
      <c r="B11" s="41" t="inlineStr">
        <is>
          <t>65010006</t>
        </is>
      </c>
      <c r="C11" s="25" t="inlineStr">
        <is>
          <t>นางสาวรัตนาภรณ์ ใจงาม</t>
        </is>
      </c>
      <c r="D11" s="48">
        <f>IF('UI-6 กรอกคะแนน'!D10="",0,'UI-6 กรอกคะแนน'!D10/'UI-3 กิจกรรม'!$E$5)</f>
        <v/>
      </c>
      <c r="E11" s="48">
        <f>IF('UI-6 กรอกคะแนน'!E10="",0,'UI-6 กรอกคะแนน'!E10/'UI-3 กิจกรรม'!$E$6)</f>
        <v/>
      </c>
      <c r="F11" s="48">
        <f>IF('UI-6 กรอกคะแนน'!F10="",0,'UI-6 กรอกคะแนน'!F10/'UI-3 กิจกรรม'!$E$7)</f>
        <v/>
      </c>
      <c r="G11" s="48">
        <f>IF('UI-6 กรอกคะแนน'!G10="",0,'UI-6 กรอกคะแนน'!G10/'UI-3 กิจกรรม'!$E$8)</f>
        <v/>
      </c>
      <c r="H11" s="48">
        <f>IF('UI-6 กรอกคะแนน'!H10="",0,'UI-6 กรอกคะแนน'!H10/'UI-3 กิจกรรม'!$E$9)</f>
        <v/>
      </c>
    </row>
    <row r="12">
      <c r="A12" s="21" t="n">
        <v>7</v>
      </c>
      <c r="B12" s="39" t="inlineStr">
        <is>
          <t>65010007</t>
        </is>
      </c>
      <c r="C12" s="22" t="inlineStr">
        <is>
          <t>นายวรวุฒิ ชัยมงคล</t>
        </is>
      </c>
      <c r="D12" s="47">
        <f>IF('UI-6 กรอกคะแนน'!D11="",0,'UI-6 กรอกคะแนน'!D11/'UI-3 กิจกรรม'!$E$5)</f>
        <v/>
      </c>
      <c r="E12" s="47">
        <f>IF('UI-6 กรอกคะแนน'!E11="",0,'UI-6 กรอกคะแนน'!E11/'UI-3 กิจกรรม'!$E$6)</f>
        <v/>
      </c>
      <c r="F12" s="47">
        <f>IF('UI-6 กรอกคะแนน'!F11="",0,'UI-6 กรอกคะแนน'!F11/'UI-3 กิจกรรม'!$E$7)</f>
        <v/>
      </c>
      <c r="G12" s="47">
        <f>IF('UI-6 กรอกคะแนน'!G11="",0,'UI-6 กรอกคะแนน'!G11/'UI-3 กิจกรรม'!$E$8)</f>
        <v/>
      </c>
      <c r="H12" s="47">
        <f>IF('UI-6 กรอกคะแนน'!H11="",0,'UI-6 กรอกคะแนน'!H11/'UI-3 กิจกรรม'!$E$9)</f>
        <v/>
      </c>
    </row>
    <row r="13">
      <c r="A13" s="24" t="n">
        <v>8</v>
      </c>
      <c r="B13" s="41" t="inlineStr">
        <is>
          <t>65010008</t>
        </is>
      </c>
      <c r="C13" s="25" t="inlineStr">
        <is>
          <t>นางสาวศิริพร แก้วมณี</t>
        </is>
      </c>
      <c r="D13" s="48">
        <f>IF('UI-6 กรอกคะแนน'!D12="",0,'UI-6 กรอกคะแนน'!D12/'UI-3 กิจกรรม'!$E$5)</f>
        <v/>
      </c>
      <c r="E13" s="48">
        <f>IF('UI-6 กรอกคะแนน'!E12="",0,'UI-6 กรอกคะแนน'!E12/'UI-3 กิจกรรม'!$E$6)</f>
        <v/>
      </c>
      <c r="F13" s="48">
        <f>IF('UI-6 กรอกคะแนน'!F12="",0,'UI-6 กรอกคะแนน'!F12/'UI-3 กิจกรรม'!$E$7)</f>
        <v/>
      </c>
      <c r="G13" s="48">
        <f>IF('UI-6 กรอกคะแนน'!G12="",0,'UI-6 กรอกคะแนน'!G12/'UI-3 กิจกรรม'!$E$8)</f>
        <v/>
      </c>
      <c r="H13" s="48">
        <f>IF('UI-6 กรอกคะแนน'!H12="",0,'UI-6 กรอกคะแนน'!H12/'UI-3 กิจกรรม'!$E$9)</f>
        <v/>
      </c>
    </row>
    <row r="15">
      <c r="A15" s="3" t="inlineStr">
        <is>
          <t>ขั้นที่ 2 — มีคะแนนแล้วหรือยัง (1 = ประเมินแล้ว, 0 = ยังไม่ประเมิน) · ตัวนี้คือสิ่งที่แยก "ว่าง" ออกจาก "ศูนย์"</t>
        </is>
      </c>
    </row>
    <row r="16" ht="22" customHeight="1">
      <c r="A16" s="46" t="inlineStr">
        <is>
          <t>ลำดับ</t>
        </is>
      </c>
      <c r="B16" s="46" t="inlineStr">
        <is>
          <t>รหัส</t>
        </is>
      </c>
      <c r="C16" s="46" t="inlineStr">
        <is>
          <t>ชื่อ-นามสกุล</t>
        </is>
      </c>
      <c r="D16" s="46" t="inlineStr">
        <is>
          <t>Quiz 1 — ER Diagram</t>
        </is>
      </c>
      <c r="E16" s="46" t="inlineStr">
        <is>
          <t>สอบกลางภาค</t>
        </is>
      </c>
      <c r="F16" s="46" t="inlineStr">
        <is>
          <t>ปฏิบัติการ SQL (Lab)</t>
        </is>
      </c>
      <c r="G16" s="46" t="inlineStr">
        <is>
          <t>โปรเจกต์กลุ่ม</t>
        </is>
      </c>
      <c r="H16" s="46" t="inlineStr">
        <is>
          <t>สอบปลายภาค</t>
        </is>
      </c>
    </row>
    <row r="17">
      <c r="A17" s="21" t="n">
        <v>1</v>
      </c>
      <c r="B17" s="39" t="inlineStr">
        <is>
          <t>65010001</t>
        </is>
      </c>
      <c r="C17" s="22" t="inlineStr">
        <is>
          <t>นายกิตติพงษ์ แสงทอง</t>
        </is>
      </c>
      <c r="D17" s="21">
        <f>IF('UI-6 กรอกคะแนน'!D5="",0,1)</f>
        <v/>
      </c>
      <c r="E17" s="21">
        <f>IF('UI-6 กรอกคะแนน'!E5="",0,1)</f>
        <v/>
      </c>
      <c r="F17" s="21">
        <f>IF('UI-6 กรอกคะแนน'!F5="",0,1)</f>
        <v/>
      </c>
      <c r="G17" s="21">
        <f>IF('UI-6 กรอกคะแนน'!G5="",0,1)</f>
        <v/>
      </c>
      <c r="H17" s="21">
        <f>IF('UI-6 กรอกคะแนน'!H5="",0,1)</f>
        <v/>
      </c>
    </row>
    <row r="18">
      <c r="A18" s="24" t="n">
        <v>2</v>
      </c>
      <c r="B18" s="41" t="inlineStr">
        <is>
          <t>65010002</t>
        </is>
      </c>
      <c r="C18" s="25" t="inlineStr">
        <is>
          <t>นางสาวจิราพร มีสุข</t>
        </is>
      </c>
      <c r="D18" s="24">
        <f>IF('UI-6 กรอกคะแนน'!D6="",0,1)</f>
        <v/>
      </c>
      <c r="E18" s="24">
        <f>IF('UI-6 กรอกคะแนน'!E6="",0,1)</f>
        <v/>
      </c>
      <c r="F18" s="24">
        <f>IF('UI-6 กรอกคะแนน'!F6="",0,1)</f>
        <v/>
      </c>
      <c r="G18" s="24">
        <f>IF('UI-6 กรอกคะแนน'!G6="",0,1)</f>
        <v/>
      </c>
      <c r="H18" s="24">
        <f>IF('UI-6 กรอกคะแนน'!H6="",0,1)</f>
        <v/>
      </c>
    </row>
    <row r="19">
      <c r="A19" s="21" t="n">
        <v>3</v>
      </c>
      <c r="B19" s="39" t="inlineStr">
        <is>
          <t>65010003</t>
        </is>
      </c>
      <c r="C19" s="22" t="inlineStr">
        <is>
          <t>นายธนกร ศรีสุข</t>
        </is>
      </c>
      <c r="D19" s="21">
        <f>IF('UI-6 กรอกคะแนน'!D7="",0,1)</f>
        <v/>
      </c>
      <c r="E19" s="21">
        <f>IF('UI-6 กรอกคะแนน'!E7="",0,1)</f>
        <v/>
      </c>
      <c r="F19" s="21">
        <f>IF('UI-6 กรอกคะแนน'!F7="",0,1)</f>
        <v/>
      </c>
      <c r="G19" s="21">
        <f>IF('UI-6 กรอกคะแนน'!G7="",0,1)</f>
        <v/>
      </c>
      <c r="H19" s="21">
        <f>IF('UI-6 กรอกคะแนน'!H7="",0,1)</f>
        <v/>
      </c>
    </row>
    <row r="20">
      <c r="A20" s="24" t="n">
        <v>4</v>
      </c>
      <c r="B20" s="41" t="inlineStr">
        <is>
          <t>65010004</t>
        </is>
      </c>
      <c r="C20" s="25" t="inlineStr">
        <is>
          <t>นางสาวปาริชาติ วงศ์ดี</t>
        </is>
      </c>
      <c r="D20" s="24">
        <f>IF('UI-6 กรอกคะแนน'!D8="",0,1)</f>
        <v/>
      </c>
      <c r="E20" s="24">
        <f>IF('UI-6 กรอกคะแนน'!E8="",0,1)</f>
        <v/>
      </c>
      <c r="F20" s="24">
        <f>IF('UI-6 กรอกคะแนน'!F8="",0,1)</f>
        <v/>
      </c>
      <c r="G20" s="24">
        <f>IF('UI-6 กรอกคะแนน'!G8="",0,1)</f>
        <v/>
      </c>
      <c r="H20" s="24">
        <f>IF('UI-6 กรอกคะแนน'!H8="",0,1)</f>
        <v/>
      </c>
    </row>
    <row r="21">
      <c r="A21" s="21" t="n">
        <v>5</v>
      </c>
      <c r="B21" s="39" t="inlineStr">
        <is>
          <t>65010005</t>
        </is>
      </c>
      <c r="C21" s="22" t="inlineStr">
        <is>
          <t>นายภานุวัฒน์ ทองสุข</t>
        </is>
      </c>
      <c r="D21" s="21">
        <f>IF('UI-6 กรอกคะแนน'!D9="",0,1)</f>
        <v/>
      </c>
      <c r="E21" s="21">
        <f>IF('UI-6 กรอกคะแนน'!E9="",0,1)</f>
        <v/>
      </c>
      <c r="F21" s="21">
        <f>IF('UI-6 กรอกคะแนน'!F9="",0,1)</f>
        <v/>
      </c>
      <c r="G21" s="21">
        <f>IF('UI-6 กรอกคะแนน'!G9="",0,1)</f>
        <v/>
      </c>
      <c r="H21" s="21">
        <f>IF('UI-6 กรอกคะแนน'!H9="",0,1)</f>
        <v/>
      </c>
    </row>
    <row r="22">
      <c r="A22" s="24" t="n">
        <v>6</v>
      </c>
      <c r="B22" s="41" t="inlineStr">
        <is>
          <t>65010006</t>
        </is>
      </c>
      <c r="C22" s="25" t="inlineStr">
        <is>
          <t>นางสาวรัตนาภรณ์ ใจงาม</t>
        </is>
      </c>
      <c r="D22" s="24">
        <f>IF('UI-6 กรอกคะแนน'!D10="",0,1)</f>
        <v/>
      </c>
      <c r="E22" s="24">
        <f>IF('UI-6 กรอกคะแนน'!E10="",0,1)</f>
        <v/>
      </c>
      <c r="F22" s="24">
        <f>IF('UI-6 กรอกคะแนน'!F10="",0,1)</f>
        <v/>
      </c>
      <c r="G22" s="24">
        <f>IF('UI-6 กรอกคะแนน'!G10="",0,1)</f>
        <v/>
      </c>
      <c r="H22" s="24">
        <f>IF('UI-6 กรอกคะแนน'!H10="",0,1)</f>
        <v/>
      </c>
    </row>
    <row r="23">
      <c r="A23" s="21" t="n">
        <v>7</v>
      </c>
      <c r="B23" s="39" t="inlineStr">
        <is>
          <t>65010007</t>
        </is>
      </c>
      <c r="C23" s="22" t="inlineStr">
        <is>
          <t>นายวรวุฒิ ชัยมงคล</t>
        </is>
      </c>
      <c r="D23" s="21">
        <f>IF('UI-6 กรอกคะแนน'!D11="",0,1)</f>
        <v/>
      </c>
      <c r="E23" s="21">
        <f>IF('UI-6 กรอกคะแนน'!E11="",0,1)</f>
        <v/>
      </c>
      <c r="F23" s="21">
        <f>IF('UI-6 กรอกคะแนน'!F11="",0,1)</f>
        <v/>
      </c>
      <c r="G23" s="21">
        <f>IF('UI-6 กรอกคะแนน'!G11="",0,1)</f>
        <v/>
      </c>
      <c r="H23" s="21">
        <f>IF('UI-6 กรอกคะแนน'!H11="",0,1)</f>
        <v/>
      </c>
    </row>
    <row r="24">
      <c r="A24" s="24" t="n">
        <v>8</v>
      </c>
      <c r="B24" s="41" t="inlineStr">
        <is>
          <t>65010008</t>
        </is>
      </c>
      <c r="C24" s="25" t="inlineStr">
        <is>
          <t>นางสาวศิริพร แก้วมณี</t>
        </is>
      </c>
      <c r="D24" s="24">
        <f>IF('UI-6 กรอกคะแนน'!D12="",0,1)</f>
        <v/>
      </c>
      <c r="E24" s="24">
        <f>IF('UI-6 กรอกคะแนน'!E12="",0,1)</f>
        <v/>
      </c>
      <c r="F24" s="24">
        <f>IF('UI-6 กรอกคะแนน'!F12="",0,1)</f>
        <v/>
      </c>
      <c r="G24" s="24">
        <f>IF('UI-6 กรอกคะแนน'!G12="",0,1)</f>
        <v/>
      </c>
      <c r="H24" s="24">
        <f>IF('UI-6 กรอกคะแนน'!H12="",0,1)</f>
        <v/>
      </c>
    </row>
    <row r="26">
      <c r="A26" s="3" t="inlineStr">
        <is>
          <t>ขั้นที่ 3 — ตารางน้ำหนักที่สลับแกนจาก UI-4 (เพื่อให้คูณกับแถวคะแนนได้)</t>
        </is>
      </c>
    </row>
    <row r="27" ht="22" customHeight="1">
      <c r="A27" s="46" t="inlineStr"/>
      <c r="B27" s="46" t="inlineStr"/>
      <c r="C27" s="46" t="inlineStr">
        <is>
          <t>CLO \ กิจกรรม</t>
        </is>
      </c>
      <c r="D27" s="46" t="inlineStr">
        <is>
          <t>Quiz 1 — ER Diagram</t>
        </is>
      </c>
      <c r="E27" s="46" t="inlineStr">
        <is>
          <t>สอบกลางภาค</t>
        </is>
      </c>
      <c r="F27" s="46" t="inlineStr">
        <is>
          <t>ปฏิบัติการ SQL (Lab)</t>
        </is>
      </c>
      <c r="G27" s="46" t="inlineStr">
        <is>
          <t>โปรเจกต์กลุ่ม</t>
        </is>
      </c>
      <c r="H27" s="46" t="inlineStr">
        <is>
          <t>สอบปลายภาค</t>
        </is>
      </c>
    </row>
    <row r="28">
      <c r="C28" s="5" t="inlineStr">
        <is>
          <t>CLO 1</t>
        </is>
      </c>
      <c r="D28" s="21">
        <f>'UI-4 Mapping'!C5</f>
        <v/>
      </c>
      <c r="E28" s="21">
        <f>'UI-4 Mapping'!C6</f>
        <v/>
      </c>
      <c r="F28" s="21">
        <f>'UI-4 Mapping'!C7</f>
        <v/>
      </c>
      <c r="G28" s="21">
        <f>'UI-4 Mapping'!C8</f>
        <v/>
      </c>
      <c r="H28" s="21">
        <f>'UI-4 Mapping'!C9</f>
        <v/>
      </c>
    </row>
    <row r="29">
      <c r="C29" s="8" t="inlineStr">
        <is>
          <t>CLO 2</t>
        </is>
      </c>
      <c r="D29" s="24">
        <f>'UI-4 Mapping'!D5</f>
        <v/>
      </c>
      <c r="E29" s="24">
        <f>'UI-4 Mapping'!D6</f>
        <v/>
      </c>
      <c r="F29" s="24">
        <f>'UI-4 Mapping'!D7</f>
        <v/>
      </c>
      <c r="G29" s="24">
        <f>'UI-4 Mapping'!D8</f>
        <v/>
      </c>
      <c r="H29" s="24">
        <f>'UI-4 Mapping'!D9</f>
        <v/>
      </c>
    </row>
    <row r="30">
      <c r="C30" s="5" t="inlineStr">
        <is>
          <t>CLO 3</t>
        </is>
      </c>
      <c r="D30" s="21">
        <f>'UI-4 Mapping'!E5</f>
        <v/>
      </c>
      <c r="E30" s="21">
        <f>'UI-4 Mapping'!E6</f>
        <v/>
      </c>
      <c r="F30" s="21">
        <f>'UI-4 Mapping'!E7</f>
        <v/>
      </c>
      <c r="G30" s="21">
        <f>'UI-4 Mapping'!E8</f>
        <v/>
      </c>
      <c r="H30" s="21">
        <f>'UI-4 Mapping'!E9</f>
        <v/>
      </c>
    </row>
    <row r="31">
      <c r="C31" s="8" t="inlineStr">
        <is>
          <t>CLO 4</t>
        </is>
      </c>
      <c r="D31" s="24">
        <f>'UI-4 Mapping'!F5</f>
        <v/>
      </c>
      <c r="E31" s="24">
        <f>'UI-4 Mapping'!F6</f>
        <v/>
      </c>
      <c r="F31" s="24">
        <f>'UI-4 Mapping'!F7</f>
        <v/>
      </c>
      <c r="G31" s="24">
        <f>'UI-4 Mapping'!F8</f>
        <v/>
      </c>
      <c r="H31" s="24">
        <f>'UI-4 Mapping'!F9</f>
        <v/>
      </c>
    </row>
    <row r="32">
      <c r="C32" s="26" t="inlineStr">
        <is>
          <t>น้ำหนักกิจกรรมต่อวิชา (Aw)</t>
        </is>
      </c>
      <c r="D32" s="49">
        <f>'UI-3 กิจกรรม'!$F$5</f>
        <v/>
      </c>
      <c r="E32" s="49">
        <f>'UI-3 กิจกรรม'!$F$6</f>
        <v/>
      </c>
      <c r="F32" s="49">
        <f>'UI-3 กิจกรรม'!$F$7</f>
        <v/>
      </c>
      <c r="G32" s="49">
        <f>'UI-3 กิจกรรม'!$F$8</f>
        <v/>
      </c>
      <c r="H32" s="49">
        <f>'UI-3 กิจกรรม'!$F$9</f>
        <v/>
      </c>
    </row>
    <row r="33">
      <c r="C33" s="26" t="inlineStr">
        <is>
          <t>เกณฑ์ผ่านของแต่ละ CLO (threshold)</t>
        </is>
      </c>
      <c r="D33" s="49">
        <f>'UI-2 CLO'!$E$5</f>
        <v/>
      </c>
      <c r="E33" s="49">
        <f>'UI-2 CLO'!$E$6</f>
        <v/>
      </c>
      <c r="F33" s="49">
        <f>'UI-2 CLO'!$E$7</f>
        <v/>
      </c>
      <c r="G33" s="49">
        <f>'UI-2 CLO'!$E$8</f>
        <v/>
      </c>
    </row>
    <row r="35">
      <c r="A35" s="3" t="inlineStr">
        <is>
          <t>ขั้นที่ 4 — คะแนน CLO รายบุคคล (CR-03) · คะแนนรวมและสถานะ (CR-05)</t>
        </is>
      </c>
    </row>
    <row r="36" ht="30" customHeight="1">
      <c r="A36" s="46" t="inlineStr">
        <is>
          <t>ลำดับ</t>
        </is>
      </c>
      <c r="B36" s="46" t="inlineStr">
        <is>
          <t>รหัส</t>
        </is>
      </c>
      <c r="C36" s="46" t="inlineStr">
        <is>
          <t>ชื่อ-นามสกุล</t>
        </is>
      </c>
      <c r="D36" s="46" t="inlineStr">
        <is>
          <t>CLO 1 (%)</t>
        </is>
      </c>
      <c r="E36" s="46" t="inlineStr">
        <is>
          <t>CLO 2 (%)</t>
        </is>
      </c>
      <c r="F36" s="46" t="inlineStr">
        <is>
          <t>CLO 3 (%)</t>
        </is>
      </c>
      <c r="G36" s="46" t="inlineStr">
        <is>
          <t>CLO 4 (%)</t>
        </is>
      </c>
      <c r="H36" s="46" t="inlineStr">
        <is>
          <t>คะแนนรวม (%)</t>
        </is>
      </c>
      <c r="I36" s="46" t="inlineStr">
        <is>
          <t>เพดาน ณ ตอนนี้ (%)</t>
        </is>
      </c>
      <c r="J36" s="46" t="inlineStr">
        <is>
          <t>กรอกแล้ว</t>
        </is>
      </c>
      <c r="K36" s="46" t="inlineStr">
        <is>
          <t>ผ่านวิชา?</t>
        </is>
      </c>
      <c r="L36" s="46" t="inlineStr">
        <is>
          <t>สถานะการติดตาม</t>
        </is>
      </c>
    </row>
    <row r="37">
      <c r="A37" s="21" t="n">
        <v>1</v>
      </c>
      <c r="B37" s="39" t="inlineStr">
        <is>
          <t>65010001</t>
        </is>
      </c>
      <c r="C37" s="22" t="inlineStr">
        <is>
          <t>นายกิตติพงษ์ แสงทอง</t>
        </is>
      </c>
      <c r="D37" s="50">
        <f>IF(SUMPRODUCT($D$17:$H$17,$D$28:$H$28)=0,"—",SUMPRODUCT($D$6:$H$6,$D$28:$H$28)/SUMPRODUCT($D$17:$H$17,$D$28:$H$28)*100)</f>
        <v/>
      </c>
      <c r="E37" s="50">
        <f>IF(SUMPRODUCT($D$17:$H$17,$D$29:$H$29)=0,"—",SUMPRODUCT($D$6:$H$6,$D$29:$H$29)/SUMPRODUCT($D$17:$H$17,$D$29:$H$29)*100)</f>
        <v/>
      </c>
      <c r="F37" s="50">
        <f>IF(SUMPRODUCT($D$17:$H$17,$D$30:$H$30)=0,"—",SUMPRODUCT($D$6:$H$6,$D$30:$H$30)/SUMPRODUCT($D$17:$H$17,$D$30:$H$30)*100)</f>
        <v/>
      </c>
      <c r="G37" s="50">
        <f>IF(SUMPRODUCT($D$17:$H$17,$D$31:$H$31)=0,"—",SUMPRODUCT($D$6:$H$6,$D$31:$H$31)/SUMPRODUCT($D$17:$H$17,$D$31:$H$31)*100)</f>
        <v/>
      </c>
      <c r="H37" s="51">
        <f>SUMPRODUCT($D$6:$H$6,$D$32:$H$32)</f>
        <v/>
      </c>
      <c r="I37" s="52">
        <f>SUMPRODUCT($D$17:$H$17,$D$32:$H$32)</f>
        <v/>
      </c>
      <c r="J37" s="53">
        <f>COUNT('UI-6 กรอกคะแนน'!D5:H5)&amp;"/5"</f>
        <v/>
      </c>
      <c r="K37" s="30">
        <f>IF(COUNT($D37:$G37)=0,"—",IF($I37&lt;100,"ยังตัดสินไม่ได้",IF($H37&gt;='UI-1 รายวิชา'!$C$13,"ผ่าน","ไม่ผ่าน")))</f>
        <v/>
      </c>
      <c r="L37" s="30">
        <f>IF(COUNT($D37:$G37)=0,"ยังประเมินไม่ครบ",IF(SUMPRODUCT(--ISNUMBER($D37:$G37),--($D37:$G37&lt;$D$33:$G$33))&gt;0,"เสี่ยง (at-risk)","ปกติ"))</f>
        <v/>
      </c>
    </row>
    <row r="38">
      <c r="A38" s="24" t="n">
        <v>2</v>
      </c>
      <c r="B38" s="41" t="inlineStr">
        <is>
          <t>65010002</t>
        </is>
      </c>
      <c r="C38" s="25" t="inlineStr">
        <is>
          <t>นางสาวจิราพร มีสุข</t>
        </is>
      </c>
      <c r="D38" s="54">
        <f>IF(SUMPRODUCT($D$18:$H$18,$D$28:$H$28)=0,"—",SUMPRODUCT($D$7:$H$7,$D$28:$H$28)/SUMPRODUCT($D$18:$H$18,$D$28:$H$28)*100)</f>
        <v/>
      </c>
      <c r="E38" s="54">
        <f>IF(SUMPRODUCT($D$18:$H$18,$D$29:$H$29)=0,"—",SUMPRODUCT($D$7:$H$7,$D$29:$H$29)/SUMPRODUCT($D$18:$H$18,$D$29:$H$29)*100)</f>
        <v/>
      </c>
      <c r="F38" s="54">
        <f>IF(SUMPRODUCT($D$18:$H$18,$D$30:$H$30)=0,"—",SUMPRODUCT($D$7:$H$7,$D$30:$H$30)/SUMPRODUCT($D$18:$H$18,$D$30:$H$30)*100)</f>
        <v/>
      </c>
      <c r="G38" s="54">
        <f>IF(SUMPRODUCT($D$18:$H$18,$D$31:$H$31)=0,"—",SUMPRODUCT($D$7:$H$7,$D$31:$H$31)/SUMPRODUCT($D$18:$H$18,$D$31:$H$31)*100)</f>
        <v/>
      </c>
      <c r="H38" s="55">
        <f>SUMPRODUCT($D$7:$H$7,$D$32:$H$32)</f>
        <v/>
      </c>
      <c r="I38" s="56">
        <f>SUMPRODUCT($D$18:$H$18,$D$32:$H$32)</f>
        <v/>
      </c>
      <c r="J38" s="57">
        <f>COUNT('UI-6 กรอกคะแนน'!D6:H6)&amp;"/5"</f>
        <v/>
      </c>
      <c r="K38" s="32">
        <f>IF(COUNT($D38:$G38)=0,"—",IF($I38&lt;100,"ยังตัดสินไม่ได้",IF($H38&gt;='UI-1 รายวิชา'!$C$13,"ผ่าน","ไม่ผ่าน")))</f>
        <v/>
      </c>
      <c r="L38" s="32">
        <f>IF(COUNT($D38:$G38)=0,"ยังประเมินไม่ครบ",IF(SUMPRODUCT(--ISNUMBER($D38:$G38),--($D38:$G38&lt;$D$33:$G$33))&gt;0,"เสี่ยง (at-risk)","ปกติ"))</f>
        <v/>
      </c>
    </row>
    <row r="39">
      <c r="A39" s="21" t="n">
        <v>3</v>
      </c>
      <c r="B39" s="39" t="inlineStr">
        <is>
          <t>65010003</t>
        </is>
      </c>
      <c r="C39" s="22" t="inlineStr">
        <is>
          <t>นายธนกร ศรีสุข</t>
        </is>
      </c>
      <c r="D39" s="50">
        <f>IF(SUMPRODUCT($D$19:$H$19,$D$28:$H$28)=0,"—",SUMPRODUCT($D$8:$H$8,$D$28:$H$28)/SUMPRODUCT($D$19:$H$19,$D$28:$H$28)*100)</f>
        <v/>
      </c>
      <c r="E39" s="50">
        <f>IF(SUMPRODUCT($D$19:$H$19,$D$29:$H$29)=0,"—",SUMPRODUCT($D$8:$H$8,$D$29:$H$29)/SUMPRODUCT($D$19:$H$19,$D$29:$H$29)*100)</f>
        <v/>
      </c>
      <c r="F39" s="50">
        <f>IF(SUMPRODUCT($D$19:$H$19,$D$30:$H$30)=0,"—",SUMPRODUCT($D$8:$H$8,$D$30:$H$30)/SUMPRODUCT($D$19:$H$19,$D$30:$H$30)*100)</f>
        <v/>
      </c>
      <c r="G39" s="50">
        <f>IF(SUMPRODUCT($D$19:$H$19,$D$31:$H$31)=0,"—",SUMPRODUCT($D$8:$H$8,$D$31:$H$31)/SUMPRODUCT($D$19:$H$19,$D$31:$H$31)*100)</f>
        <v/>
      </c>
      <c r="H39" s="51">
        <f>SUMPRODUCT($D$8:$H$8,$D$32:$H$32)</f>
        <v/>
      </c>
      <c r="I39" s="52">
        <f>SUMPRODUCT($D$19:$H$19,$D$32:$H$32)</f>
        <v/>
      </c>
      <c r="J39" s="53">
        <f>COUNT('UI-6 กรอกคะแนน'!D7:H7)&amp;"/5"</f>
        <v/>
      </c>
      <c r="K39" s="30">
        <f>IF(COUNT($D39:$G39)=0,"—",IF($I39&lt;100,"ยังตัดสินไม่ได้",IF($H39&gt;='UI-1 รายวิชา'!$C$13,"ผ่าน","ไม่ผ่าน")))</f>
        <v/>
      </c>
      <c r="L39" s="30">
        <f>IF(COUNT($D39:$G39)=0,"ยังประเมินไม่ครบ",IF(SUMPRODUCT(--ISNUMBER($D39:$G39),--($D39:$G39&lt;$D$33:$G$33))&gt;0,"เสี่ยง (at-risk)","ปกติ"))</f>
        <v/>
      </c>
    </row>
    <row r="40">
      <c r="A40" s="24" t="n">
        <v>4</v>
      </c>
      <c r="B40" s="41" t="inlineStr">
        <is>
          <t>65010004</t>
        </is>
      </c>
      <c r="C40" s="25" t="inlineStr">
        <is>
          <t>นางสาวปาริชาติ วงศ์ดี</t>
        </is>
      </c>
      <c r="D40" s="54">
        <f>IF(SUMPRODUCT($D$20:$H$20,$D$28:$H$28)=0,"—",SUMPRODUCT($D$9:$H$9,$D$28:$H$28)/SUMPRODUCT($D$20:$H$20,$D$28:$H$28)*100)</f>
        <v/>
      </c>
      <c r="E40" s="54">
        <f>IF(SUMPRODUCT($D$20:$H$20,$D$29:$H$29)=0,"—",SUMPRODUCT($D$9:$H$9,$D$29:$H$29)/SUMPRODUCT($D$20:$H$20,$D$29:$H$29)*100)</f>
        <v/>
      </c>
      <c r="F40" s="54">
        <f>IF(SUMPRODUCT($D$20:$H$20,$D$30:$H$30)=0,"—",SUMPRODUCT($D$9:$H$9,$D$30:$H$30)/SUMPRODUCT($D$20:$H$20,$D$30:$H$30)*100)</f>
        <v/>
      </c>
      <c r="G40" s="54">
        <f>IF(SUMPRODUCT($D$20:$H$20,$D$31:$H$31)=0,"—",SUMPRODUCT($D$9:$H$9,$D$31:$H$31)/SUMPRODUCT($D$20:$H$20,$D$31:$H$31)*100)</f>
        <v/>
      </c>
      <c r="H40" s="55">
        <f>SUMPRODUCT($D$9:$H$9,$D$32:$H$32)</f>
        <v/>
      </c>
      <c r="I40" s="56">
        <f>SUMPRODUCT($D$20:$H$20,$D$32:$H$32)</f>
        <v/>
      </c>
      <c r="J40" s="57">
        <f>COUNT('UI-6 กรอกคะแนน'!D8:H8)&amp;"/5"</f>
        <v/>
      </c>
      <c r="K40" s="32">
        <f>IF(COUNT($D40:$G40)=0,"—",IF($I40&lt;100,"ยังตัดสินไม่ได้",IF($H40&gt;='UI-1 รายวิชา'!$C$13,"ผ่าน","ไม่ผ่าน")))</f>
        <v/>
      </c>
      <c r="L40" s="32">
        <f>IF(COUNT($D40:$G40)=0,"ยังประเมินไม่ครบ",IF(SUMPRODUCT(--ISNUMBER($D40:$G40),--($D40:$G40&lt;$D$33:$G$33))&gt;0,"เสี่ยง (at-risk)","ปกติ"))</f>
        <v/>
      </c>
    </row>
    <row r="41">
      <c r="A41" s="21" t="n">
        <v>5</v>
      </c>
      <c r="B41" s="39" t="inlineStr">
        <is>
          <t>65010005</t>
        </is>
      </c>
      <c r="C41" s="22" t="inlineStr">
        <is>
          <t>นายภานุวัฒน์ ทองสุข</t>
        </is>
      </c>
      <c r="D41" s="50">
        <f>IF(SUMPRODUCT($D$21:$H$21,$D$28:$H$28)=0,"—",SUMPRODUCT($D$10:$H$10,$D$28:$H$28)/SUMPRODUCT($D$21:$H$21,$D$28:$H$28)*100)</f>
        <v/>
      </c>
      <c r="E41" s="50">
        <f>IF(SUMPRODUCT($D$21:$H$21,$D$29:$H$29)=0,"—",SUMPRODUCT($D$10:$H$10,$D$29:$H$29)/SUMPRODUCT($D$21:$H$21,$D$29:$H$29)*100)</f>
        <v/>
      </c>
      <c r="F41" s="50">
        <f>IF(SUMPRODUCT($D$21:$H$21,$D$30:$H$30)=0,"—",SUMPRODUCT($D$10:$H$10,$D$30:$H$30)/SUMPRODUCT($D$21:$H$21,$D$30:$H$30)*100)</f>
        <v/>
      </c>
      <c r="G41" s="50">
        <f>IF(SUMPRODUCT($D$21:$H$21,$D$31:$H$31)=0,"—",SUMPRODUCT($D$10:$H$10,$D$31:$H$31)/SUMPRODUCT($D$21:$H$21,$D$31:$H$31)*100)</f>
        <v/>
      </c>
      <c r="H41" s="51">
        <f>SUMPRODUCT($D$10:$H$10,$D$32:$H$32)</f>
        <v/>
      </c>
      <c r="I41" s="52">
        <f>SUMPRODUCT($D$21:$H$21,$D$32:$H$32)</f>
        <v/>
      </c>
      <c r="J41" s="53">
        <f>COUNT('UI-6 กรอกคะแนน'!D9:H9)&amp;"/5"</f>
        <v/>
      </c>
      <c r="K41" s="30">
        <f>IF(COUNT($D41:$G41)=0,"—",IF($I41&lt;100,"ยังตัดสินไม่ได้",IF($H41&gt;='UI-1 รายวิชา'!$C$13,"ผ่าน","ไม่ผ่าน")))</f>
        <v/>
      </c>
      <c r="L41" s="30">
        <f>IF(COUNT($D41:$G41)=0,"ยังประเมินไม่ครบ",IF(SUMPRODUCT(--ISNUMBER($D41:$G41),--($D41:$G41&lt;$D$33:$G$33))&gt;0,"เสี่ยง (at-risk)","ปกติ"))</f>
        <v/>
      </c>
    </row>
    <row r="42">
      <c r="A42" s="24" t="n">
        <v>6</v>
      </c>
      <c r="B42" s="41" t="inlineStr">
        <is>
          <t>65010006</t>
        </is>
      </c>
      <c r="C42" s="25" t="inlineStr">
        <is>
          <t>นางสาวรัตนาภรณ์ ใจงาม</t>
        </is>
      </c>
      <c r="D42" s="54">
        <f>IF(SUMPRODUCT($D$22:$H$22,$D$28:$H$28)=0,"—",SUMPRODUCT($D$11:$H$11,$D$28:$H$28)/SUMPRODUCT($D$22:$H$22,$D$28:$H$28)*100)</f>
        <v/>
      </c>
      <c r="E42" s="54">
        <f>IF(SUMPRODUCT($D$22:$H$22,$D$29:$H$29)=0,"—",SUMPRODUCT($D$11:$H$11,$D$29:$H$29)/SUMPRODUCT($D$22:$H$22,$D$29:$H$29)*100)</f>
        <v/>
      </c>
      <c r="F42" s="54">
        <f>IF(SUMPRODUCT($D$22:$H$22,$D$30:$H$30)=0,"—",SUMPRODUCT($D$11:$H$11,$D$30:$H$30)/SUMPRODUCT($D$22:$H$22,$D$30:$H$30)*100)</f>
        <v/>
      </c>
      <c r="G42" s="54">
        <f>IF(SUMPRODUCT($D$22:$H$22,$D$31:$H$31)=0,"—",SUMPRODUCT($D$11:$H$11,$D$31:$H$31)/SUMPRODUCT($D$22:$H$22,$D$31:$H$31)*100)</f>
        <v/>
      </c>
      <c r="H42" s="55">
        <f>SUMPRODUCT($D$11:$H$11,$D$32:$H$32)</f>
        <v/>
      </c>
      <c r="I42" s="56">
        <f>SUMPRODUCT($D$22:$H$22,$D$32:$H$32)</f>
        <v/>
      </c>
      <c r="J42" s="57">
        <f>COUNT('UI-6 กรอกคะแนน'!D10:H10)&amp;"/5"</f>
        <v/>
      </c>
      <c r="K42" s="32">
        <f>IF(COUNT($D42:$G42)=0,"—",IF($I42&lt;100,"ยังตัดสินไม่ได้",IF($H42&gt;='UI-1 รายวิชา'!$C$13,"ผ่าน","ไม่ผ่าน")))</f>
        <v/>
      </c>
      <c r="L42" s="32">
        <f>IF(COUNT($D42:$G42)=0,"ยังประเมินไม่ครบ",IF(SUMPRODUCT(--ISNUMBER($D42:$G42),--($D42:$G42&lt;$D$33:$G$33))&gt;0,"เสี่ยง (at-risk)","ปกติ"))</f>
        <v/>
      </c>
    </row>
    <row r="43">
      <c r="A43" s="21" t="n">
        <v>7</v>
      </c>
      <c r="B43" s="39" t="inlineStr">
        <is>
          <t>65010007</t>
        </is>
      </c>
      <c r="C43" s="22" t="inlineStr">
        <is>
          <t>นายวรวุฒิ ชัยมงคล</t>
        </is>
      </c>
      <c r="D43" s="50">
        <f>IF(SUMPRODUCT($D$23:$H$23,$D$28:$H$28)=0,"—",SUMPRODUCT($D$12:$H$12,$D$28:$H$28)/SUMPRODUCT($D$23:$H$23,$D$28:$H$28)*100)</f>
        <v/>
      </c>
      <c r="E43" s="50">
        <f>IF(SUMPRODUCT($D$23:$H$23,$D$29:$H$29)=0,"—",SUMPRODUCT($D$12:$H$12,$D$29:$H$29)/SUMPRODUCT($D$23:$H$23,$D$29:$H$29)*100)</f>
        <v/>
      </c>
      <c r="F43" s="50">
        <f>IF(SUMPRODUCT($D$23:$H$23,$D$30:$H$30)=0,"—",SUMPRODUCT($D$12:$H$12,$D$30:$H$30)/SUMPRODUCT($D$23:$H$23,$D$30:$H$30)*100)</f>
        <v/>
      </c>
      <c r="G43" s="50">
        <f>IF(SUMPRODUCT($D$23:$H$23,$D$31:$H$31)=0,"—",SUMPRODUCT($D$12:$H$12,$D$31:$H$31)/SUMPRODUCT($D$23:$H$23,$D$31:$H$31)*100)</f>
        <v/>
      </c>
      <c r="H43" s="51">
        <f>SUMPRODUCT($D$12:$H$12,$D$32:$H$32)</f>
        <v/>
      </c>
      <c r="I43" s="52">
        <f>SUMPRODUCT($D$23:$H$23,$D$32:$H$32)</f>
        <v/>
      </c>
      <c r="J43" s="53">
        <f>COUNT('UI-6 กรอกคะแนน'!D11:H11)&amp;"/5"</f>
        <v/>
      </c>
      <c r="K43" s="30">
        <f>IF(COUNT($D43:$G43)=0,"—",IF($I43&lt;100,"ยังตัดสินไม่ได้",IF($H43&gt;='UI-1 รายวิชา'!$C$13,"ผ่าน","ไม่ผ่าน")))</f>
        <v/>
      </c>
      <c r="L43" s="30">
        <f>IF(COUNT($D43:$G43)=0,"ยังประเมินไม่ครบ",IF(SUMPRODUCT(--ISNUMBER($D43:$G43),--($D43:$G43&lt;$D$33:$G$33))&gt;0,"เสี่ยง (at-risk)","ปกติ"))</f>
        <v/>
      </c>
    </row>
    <row r="44">
      <c r="A44" s="24" t="n">
        <v>8</v>
      </c>
      <c r="B44" s="41" t="inlineStr">
        <is>
          <t>65010008</t>
        </is>
      </c>
      <c r="C44" s="25" t="inlineStr">
        <is>
          <t>นางสาวศิริพร แก้วมณี</t>
        </is>
      </c>
      <c r="D44" s="54">
        <f>IF(SUMPRODUCT($D$24:$H$24,$D$28:$H$28)=0,"—",SUMPRODUCT($D$13:$H$13,$D$28:$H$28)/SUMPRODUCT($D$24:$H$24,$D$28:$H$28)*100)</f>
        <v/>
      </c>
      <c r="E44" s="54">
        <f>IF(SUMPRODUCT($D$24:$H$24,$D$29:$H$29)=0,"—",SUMPRODUCT($D$13:$H$13,$D$29:$H$29)/SUMPRODUCT($D$24:$H$24,$D$29:$H$29)*100)</f>
        <v/>
      </c>
      <c r="F44" s="54">
        <f>IF(SUMPRODUCT($D$24:$H$24,$D$30:$H$30)=0,"—",SUMPRODUCT($D$13:$H$13,$D$30:$H$30)/SUMPRODUCT($D$24:$H$24,$D$30:$H$30)*100)</f>
        <v/>
      </c>
      <c r="G44" s="54">
        <f>IF(SUMPRODUCT($D$24:$H$24,$D$31:$H$31)=0,"—",SUMPRODUCT($D$13:$H$13,$D$31:$H$31)/SUMPRODUCT($D$24:$H$24,$D$31:$H$31)*100)</f>
        <v/>
      </c>
      <c r="H44" s="55">
        <f>SUMPRODUCT($D$13:$H$13,$D$32:$H$32)</f>
        <v/>
      </c>
      <c r="I44" s="56">
        <f>SUMPRODUCT($D$24:$H$24,$D$32:$H$32)</f>
        <v/>
      </c>
      <c r="J44" s="57">
        <f>COUNT('UI-6 กรอกคะแนน'!D12:H12)&amp;"/5"</f>
        <v/>
      </c>
      <c r="K44" s="32">
        <f>IF(COUNT($D44:$G44)=0,"—",IF($I44&lt;100,"ยังตัดสินไม่ได้",IF($H44&gt;='UI-1 รายวิชา'!$C$13,"ผ่าน","ไม่ผ่าน")))</f>
        <v/>
      </c>
      <c r="L44" s="32">
        <f>IF(COUNT($D44:$G44)=0,"ยังประเมินไม่ครบ",IF(SUMPRODUCT(--ISNUMBER($D44:$G44),--($D44:$G44&lt;$D$33:$G$33))&gt;0,"เสี่ยง (at-risk)","ปกติ"))</f>
        <v/>
      </c>
    </row>
    <row r="46">
      <c r="A46" s="3" t="inlineStr">
        <is>
          <t>ขั้นที่ 5 — การบรรลุ CLO ระดับชั้นเรียน (CR-04)</t>
        </is>
      </c>
    </row>
    <row r="47" ht="30" customHeight="1">
      <c r="A47" s="46" t="inlineStr"/>
      <c r="B47" s="46" t="inlineStr"/>
      <c r="C47" s="46" t="inlineStr">
        <is>
          <t>CLO</t>
        </is>
      </c>
      <c r="D47" s="46" t="inlineStr">
        <is>
          <t>เกณฑ์ผ่านรายคน (%)</t>
        </is>
      </c>
      <c r="E47" s="46" t="inlineStr">
        <is>
          <t>จำนวนที่ผ่าน</t>
        </is>
      </c>
      <c r="F47" s="46" t="inlineStr">
        <is>
          <t>จำนวนที่คำนวณได้</t>
        </is>
      </c>
      <c r="G47" s="46" t="inlineStr">
        <is>
          <t>Attainment (%)</t>
        </is>
      </c>
      <c r="H47" s="46" t="inlineStr">
        <is>
          <t>Class Target (%)</t>
        </is>
      </c>
      <c r="I47" s="46" t="inlineStr">
        <is>
          <t>ผลการบรรลุ</t>
        </is>
      </c>
    </row>
    <row r="48">
      <c r="C48" s="5" t="inlineStr">
        <is>
          <t>CLO 1</t>
        </is>
      </c>
      <c r="D48" s="21">
        <f>'UI-2 CLO'!$E$5</f>
        <v/>
      </c>
      <c r="E48" s="21">
        <f>COUNTIF(D37:D44,"&gt;="&amp;D48)</f>
        <v/>
      </c>
      <c r="F48" s="21">
        <f>COUNT(D37:D44)</f>
        <v/>
      </c>
      <c r="G48" s="51">
        <f>IF(F48=0,"—",E48/F48*100)</f>
        <v/>
      </c>
      <c r="H48" s="21">
        <f>'UI-1 รายวิชา'!$C$14</f>
        <v/>
      </c>
      <c r="I48" s="30">
        <f>IF(G48="—","ยังสรุปไม่ได้",IF(G48&gt;=H48,"บรรลุ","ไม่บรรลุ"))</f>
        <v/>
      </c>
    </row>
    <row r="49">
      <c r="C49" s="8" t="inlineStr">
        <is>
          <t>CLO 2</t>
        </is>
      </c>
      <c r="D49" s="24">
        <f>'UI-2 CLO'!$E$6</f>
        <v/>
      </c>
      <c r="E49" s="24">
        <f>COUNTIF(E37:E44,"&gt;="&amp;D49)</f>
        <v/>
      </c>
      <c r="F49" s="24">
        <f>COUNT(E37:E44)</f>
        <v/>
      </c>
      <c r="G49" s="55">
        <f>IF(F49=0,"—",E49/F49*100)</f>
        <v/>
      </c>
      <c r="H49" s="24">
        <f>'UI-1 รายวิชา'!$C$14</f>
        <v/>
      </c>
      <c r="I49" s="32">
        <f>IF(G49="—","ยังสรุปไม่ได้",IF(G49&gt;=H49,"บรรลุ","ไม่บรรลุ"))</f>
        <v/>
      </c>
    </row>
    <row r="50">
      <c r="C50" s="5" t="inlineStr">
        <is>
          <t>CLO 3</t>
        </is>
      </c>
      <c r="D50" s="21">
        <f>'UI-2 CLO'!$E$7</f>
        <v/>
      </c>
      <c r="E50" s="21">
        <f>COUNTIF(F37:F44,"&gt;="&amp;D50)</f>
        <v/>
      </c>
      <c r="F50" s="21">
        <f>COUNT(F37:F44)</f>
        <v/>
      </c>
      <c r="G50" s="51">
        <f>IF(F50=0,"—",E50/F50*100)</f>
        <v/>
      </c>
      <c r="H50" s="21">
        <f>'UI-1 รายวิชา'!$C$14</f>
        <v/>
      </c>
      <c r="I50" s="30">
        <f>IF(G50="—","ยังสรุปไม่ได้",IF(G50&gt;=H50,"บรรลุ","ไม่บรรลุ"))</f>
        <v/>
      </c>
    </row>
    <row r="51">
      <c r="C51" s="8" t="inlineStr">
        <is>
          <t>CLO 4</t>
        </is>
      </c>
      <c r="D51" s="24">
        <f>'UI-2 CLO'!$E$8</f>
        <v/>
      </c>
      <c r="E51" s="24">
        <f>COUNTIF(G37:G44,"&gt;="&amp;D51)</f>
        <v/>
      </c>
      <c r="F51" s="24">
        <f>COUNT(G37:G44)</f>
        <v/>
      </c>
      <c r="G51" s="55">
        <f>IF(F51=0,"—",E51/F51*100)</f>
        <v/>
      </c>
      <c r="H51" s="24">
        <f>'UI-1 รายวิชา'!$C$14</f>
        <v/>
      </c>
      <c r="I51" s="32">
        <f>IF(G51="—","ยังสรุปไม่ได้",IF(G51&gt;=H51,"บรรลุ","ไม่บรรลุ"))</f>
        <v/>
      </c>
    </row>
    <row r="53">
      <c r="A53" s="16" t="inlineStr">
        <is>
          <t>ตัวหารของ Attainment คือ 'จำนวนนักศึกษาที่มีคะแนนพอจะคำนวณ CLO นั้นได้' ไม่ใช่จำนวนนักศึกษาทั้งห้อง — คนที่ยังไม่ถูกประเมินเลยจะไม่ถูกนับเป็นทั้งผ่านและไม่ผ่าน (OI-12)</t>
        </is>
      </c>
    </row>
    <row r="54">
      <c r="A54" s="44" t="inlineStr">
        <is>
          <t>ข้อสังเกตที่พบจากข้อมูลชุดนี้ — CR-05 บวกเฉพาะกิจกรรมที่มีคะแนนแล้ว ดังนั้นระหว่างเทอมที่ยังกรอกไม่ครบ 'คะแนนรวม' จะต่ำกว่าความจริงเสมอ (ดู 65010006 ที่ยังไม่ประเมิน Lab น้ำหนัก 20% — คะแนน CLO อยู่ราว 62-70 แต่คะแนนรวมแสดง 53 เพราะเพดานตอนนี้คือ 80 ไม่ใช่ 100) จึงต้องดูคอลัมน์ 'เพดาน ณ ตอนนี้' ควบคู่เสมอ และห้ามตัดสินผ่าน/ไม่ผ่านจนกว่าเพดานจะครบ 100</t>
        </is>
      </c>
    </row>
    <row r="55">
      <c r="A55" s="44" t="inlineStr">
        <is>
          <t>หมายเหตุ OI-10 (ยังไม่ sign-off): CR-03 ตามที่เขียนใน SRS ไม่ได้ถ่วงด้วย Activity.weight — กิจกรรมเล็กกับใหญ่จึงมีน้ำหนักเท่ากันต่อ CLO ไฟล์นี้คำนวณตามสูตรที่เขียนไว้จริง ถ้าทีมตัดสินใจใช้แบบถ่วงน้ำหนัก ต้องแก้ทั้ง SRS และสูตรในขั้นที่ 4</t>
        </is>
      </c>
    </row>
  </sheetData>
  <mergeCells count="3">
    <mergeCell ref="A54:H54"/>
    <mergeCell ref="A53:H53"/>
    <mergeCell ref="A55:H5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>
      <c r="A1" s="58" t="inlineStr">
        <is>
          <t>ฐานข้อมูล — ข้อมูลจริงที่เกิดจากหน้าจอ UI-1 ถึง UI-6</t>
        </is>
      </c>
    </row>
    <row r="2">
      <c r="A2" s="2" t="inlineStr">
        <is>
          <t>ทั้ง 11 ตารางของ schema.prisma พร้อมแถวข้อมูลที่สอดคล้องกับหน้าจอทุกหน้าในไฟล์นี้</t>
        </is>
      </c>
    </row>
    <row r="4" ht="22" customHeight="1">
      <c r="B4" s="59" t="inlineStr">
        <is>
          <t>User   (3 แถว)</t>
        </is>
      </c>
    </row>
    <row r="5">
      <c r="B5" s="60" t="inlineStr">
        <is>
          <t>เก็บอะไร: บัญชีผู้ใช้ระบบ (อาจารย์/แอดมิน) และบทบาทระดับระบบ</t>
        </is>
      </c>
    </row>
    <row r="6">
      <c r="B6" s="61" t="inlineStr">
        <is>
          <t>ข้อมูลมาจาก: ผู้ดูแลระบบสร้างให้ ไม่ได้อยู่ในหน้าจอของอาจารย์</t>
        </is>
      </c>
    </row>
    <row r="7" ht="20" customHeight="1">
      <c r="B7" s="62" t="inlineStr">
        <is>
          <t>id</t>
        </is>
      </c>
      <c r="C7" s="62" t="inlineStr">
        <is>
          <t>email</t>
        </is>
      </c>
      <c r="D7" s="62" t="inlineStr">
        <is>
          <t>name</t>
        </is>
      </c>
      <c r="E7" s="62" t="inlineStr">
        <is>
          <t>role</t>
        </is>
      </c>
      <c r="F7" s="62" t="inlineStr">
        <is>
          <t>isActive</t>
        </is>
      </c>
    </row>
    <row r="8">
      <c r="B8" s="63" t="inlineStr">
        <is>
          <t>usr-01</t>
        </is>
      </c>
      <c r="C8" s="64" t="inlineStr">
        <is>
          <t>admin@ftech.ac.th</t>
        </is>
      </c>
      <c r="D8" s="64" t="inlineStr">
        <is>
          <t>อ.ดร.สมชาย ใจดี</t>
        </is>
      </c>
      <c r="E8" s="64" t="inlineStr">
        <is>
          <t>ADMIN</t>
        </is>
      </c>
      <c r="F8" s="64" t="inlineStr">
        <is>
          <t>TRUE</t>
        </is>
      </c>
    </row>
    <row r="9">
      <c r="B9" s="65" t="inlineStr">
        <is>
          <t>usr-02</t>
        </is>
      </c>
      <c r="C9" s="66" t="inlineStr">
        <is>
          <t>wichai.k@ftech.ac.th</t>
        </is>
      </c>
      <c r="D9" s="66" t="inlineStr">
        <is>
          <t>ผศ.วิชัย คงเจริญ</t>
        </is>
      </c>
      <c r="E9" s="66" t="inlineStr">
        <is>
          <t>INSTRUCTOR</t>
        </is>
      </c>
      <c r="F9" s="66" t="inlineStr">
        <is>
          <t>TRUE</t>
        </is>
      </c>
    </row>
    <row r="10">
      <c r="B10" s="63" t="inlineStr">
        <is>
          <t>usr-03</t>
        </is>
      </c>
      <c r="C10" s="64" t="inlineStr">
        <is>
          <t>suda.p@ftech.ac.th</t>
        </is>
      </c>
      <c r="D10" s="64" t="inlineStr">
        <is>
          <t>อ.สุดา พรหมมา</t>
        </is>
      </c>
      <c r="E10" s="64" t="inlineStr">
        <is>
          <t>INSTRUCTOR</t>
        </is>
      </c>
      <c r="F10" s="64" t="inlineStr">
        <is>
          <t>TRUE</t>
        </is>
      </c>
    </row>
    <row r="11">
      <c r="B11" s="16" t="inlineStr">
        <is>
          <t>รหัสผ่านเก็บเป็น passwordHash (argon2) เท่านั้น ไม่แสดงในตารางนี้และห้ามส่งออกทาง API</t>
        </is>
      </c>
    </row>
    <row r="14" ht="22" customHeight="1">
      <c r="B14" s="59" t="inlineStr">
        <is>
          <t>Course   (1 แถว)</t>
        </is>
      </c>
    </row>
    <row r="15">
      <c r="B15" s="60" t="inlineStr">
        <is>
          <t>เก็บอะไร: รายวิชา — รากของลำดับชั้นข้อมูลทั้งหมด ไม่มีตารางใดอยู่เหนือกว่านี้</t>
        </is>
      </c>
    </row>
    <row r="16">
      <c r="B16" s="61" t="inlineStr">
        <is>
          <t>ข้อมูลมาจาก: UI-1 รายวิชา</t>
        </is>
      </c>
    </row>
    <row r="17" ht="20" customHeight="1">
      <c r="B17" s="62" t="inlineStr">
        <is>
          <t>id</t>
        </is>
      </c>
      <c r="C17" s="62" t="inlineStr">
        <is>
          <t>code</t>
        </is>
      </c>
      <c r="D17" s="62" t="inlineStr">
        <is>
          <t>name</t>
        </is>
      </c>
      <c r="E17" s="62" t="inlineStr">
        <is>
          <t>semester</t>
        </is>
      </c>
      <c r="F17" s="62" t="inlineStr">
        <is>
          <t>year</t>
        </is>
      </c>
      <c r="G17" s="62" t="inlineStr">
        <is>
          <t>section</t>
        </is>
      </c>
      <c r="H17" s="62" t="inlineStr">
        <is>
          <t>gradingType</t>
        </is>
      </c>
      <c r="I17" s="62" t="inlineStr">
        <is>
          <t>passCriteria</t>
        </is>
      </c>
      <c r="J17" s="62" t="inlineStr">
        <is>
          <t>classTarget</t>
        </is>
      </c>
    </row>
    <row r="18">
      <c r="B18" s="63" t="inlineStr">
        <is>
          <t>crs-01</t>
        </is>
      </c>
      <c r="C18" s="64" t="inlineStr">
        <is>
          <t>90641002</t>
        </is>
      </c>
      <c r="D18" s="64" t="inlineStr">
        <is>
          <t>ระบบฐานข้อมูล</t>
        </is>
      </c>
      <c r="E18" s="67" t="n">
        <v>1</v>
      </c>
      <c r="F18" s="67" t="n">
        <v>2568</v>
      </c>
      <c r="G18" s="64" t="inlineStr">
        <is>
          <t>01</t>
        </is>
      </c>
      <c r="H18" s="64" t="inlineStr">
        <is>
          <t>LETTER</t>
        </is>
      </c>
      <c r="I18" s="67" t="n">
        <v>60</v>
      </c>
      <c r="J18" s="67" t="n">
        <v>70</v>
      </c>
    </row>
    <row r="21" ht="22" customHeight="1">
      <c r="B21" s="59" t="inlineStr">
        <is>
          <t>CourseInstructor   (2 แถว)</t>
        </is>
      </c>
    </row>
    <row r="22">
      <c r="B22" s="60" t="inlineStr">
        <is>
          <t>เก็บอะไร: ใครสอนวิชาไหน ในบทบาทอะไร (ตารางเชื่อม User ↔ Course แบบ M:N)</t>
        </is>
      </c>
    </row>
    <row r="23">
      <c r="B23" s="61" t="inlineStr">
        <is>
          <t>ข้อมูลมาจาก: หน้าจอมอบหมายผู้สอน (สิทธิ์ ADMIN)</t>
        </is>
      </c>
    </row>
    <row r="24" ht="20" customHeight="1">
      <c r="B24" s="62" t="inlineStr">
        <is>
          <t>id</t>
        </is>
      </c>
      <c r="C24" s="62" t="inlineStr">
        <is>
          <t>courseId</t>
        </is>
      </c>
      <c r="D24" s="62" t="inlineStr">
        <is>
          <t>userId</t>
        </is>
      </c>
      <c r="E24" s="62" t="inlineStr">
        <is>
          <t>role</t>
        </is>
      </c>
      <c r="F24" s="62" t="inlineStr">
        <is>
          <t>assignedAt</t>
        </is>
      </c>
    </row>
    <row r="25">
      <c r="B25" s="63" t="inlineStr">
        <is>
          <t>ci-01</t>
        </is>
      </c>
      <c r="C25" s="64" t="inlineStr">
        <is>
          <t>crs-01</t>
        </is>
      </c>
      <c r="D25" s="64" t="inlineStr">
        <is>
          <t>usr-02</t>
        </is>
      </c>
      <c r="E25" s="64" t="inlineStr">
        <is>
          <t>LEAD</t>
        </is>
      </c>
      <c r="F25" s="64" t="inlineStr">
        <is>
          <t>2568-06-01</t>
        </is>
      </c>
    </row>
    <row r="26">
      <c r="B26" s="65" t="inlineStr">
        <is>
          <t>ci-02</t>
        </is>
      </c>
      <c r="C26" s="66" t="inlineStr">
        <is>
          <t>crs-01</t>
        </is>
      </c>
      <c r="D26" s="66" t="inlineStr">
        <is>
          <t>usr-03</t>
        </is>
      </c>
      <c r="E26" s="66" t="inlineStr">
        <is>
          <t>CO</t>
        </is>
      </c>
      <c r="F26" s="66" t="inlineStr">
        <is>
          <t>2568-06-01</t>
        </is>
      </c>
    </row>
    <row r="27">
      <c r="B27" s="16" t="inlineStr">
        <is>
          <t>1 รายวิชามี LEAD ได้ไม่เกิน 1 คน — บังคับด้วย partial unique index ที่ Postgres (DC-07)</t>
        </is>
      </c>
    </row>
    <row r="30" ht="22" customHeight="1">
      <c r="B30" s="59" t="inlineStr">
        <is>
          <t>CLO   (4 แถว)</t>
        </is>
      </c>
    </row>
    <row r="31">
      <c r="B31" s="60" t="inlineStr">
        <is>
          <t>เก็บอะไร: ผลลัพธ์การเรียนรู้ที่คาดหวังของรายวิชา พร้อมเกณฑ์ผ่านรายคน</t>
        </is>
      </c>
    </row>
    <row r="32">
      <c r="B32" s="61" t="inlineStr">
        <is>
          <t>ข้อมูลมาจาก: UI-2 CLO</t>
        </is>
      </c>
    </row>
    <row r="33" ht="20" customHeight="1">
      <c r="B33" s="62" t="inlineStr">
        <is>
          <t>id</t>
        </is>
      </c>
      <c r="C33" s="62" t="inlineStr">
        <is>
          <t>courseId</t>
        </is>
      </c>
      <c r="D33" s="62" t="inlineStr">
        <is>
          <t>number</t>
        </is>
      </c>
      <c r="E33" s="62" t="inlineStr">
        <is>
          <t>description</t>
        </is>
      </c>
      <c r="F33" s="62" t="inlineStr">
        <is>
          <t>threshold</t>
        </is>
      </c>
    </row>
    <row r="34">
      <c r="B34" s="63" t="inlineStr">
        <is>
          <t>clo-01</t>
        </is>
      </c>
      <c r="C34" s="64" t="inlineStr">
        <is>
          <t>crs-01</t>
        </is>
      </c>
      <c r="D34" s="67" t="n">
        <v>1</v>
      </c>
      <c r="E34" s="64" t="inlineStr">
        <is>
          <t>ออกแบบฐานข้อมูลเชิงสัมพันธ์จากโจทย์ที่กำหนดได้</t>
        </is>
      </c>
      <c r="F34" s="67" t="n">
        <v>60</v>
      </c>
    </row>
    <row r="35">
      <c r="B35" s="65" t="inlineStr">
        <is>
          <t>clo-02</t>
        </is>
      </c>
      <c r="C35" s="66" t="inlineStr">
        <is>
          <t>crs-01</t>
        </is>
      </c>
      <c r="D35" s="68" t="n">
        <v>2</v>
      </c>
      <c r="E35" s="66" t="inlineStr">
        <is>
          <t>เขียนคำสั่ง SQL เพื่อสืบค้นและจัดการข้อมูลได้</t>
        </is>
      </c>
      <c r="F35" s="68" t="n">
        <v>60</v>
      </c>
    </row>
    <row r="36">
      <c r="B36" s="63" t="inlineStr">
        <is>
          <t>clo-03</t>
        </is>
      </c>
      <c r="C36" s="64" t="inlineStr">
        <is>
          <t>crs-01</t>
        </is>
      </c>
      <c r="D36" s="67" t="n">
        <v>3</v>
      </c>
      <c r="E36" s="64" t="inlineStr">
        <is>
          <t>ทำ Normalization ถึงระดับ 3NF ได้ถูกต้อง</t>
        </is>
      </c>
      <c r="F36" s="67" t="n">
        <v>65</v>
      </c>
    </row>
    <row r="37">
      <c r="B37" s="65" t="inlineStr">
        <is>
          <t>clo-04</t>
        </is>
      </c>
      <c r="C37" s="66" t="inlineStr">
        <is>
          <t>crs-01</t>
        </is>
      </c>
      <c r="D37" s="68" t="n">
        <v>4</v>
      </c>
      <c r="E37" s="66" t="inlineStr">
        <is>
          <t>ทำงานเป็นทีมและนำเสนอผลงานได้</t>
        </is>
      </c>
      <c r="F37" s="68" t="n">
        <v>60</v>
      </c>
    </row>
    <row r="38">
      <c r="B38" s="16" t="inlineStr">
        <is>
          <t>ไม่มีคอลัมน์ weight — น้ำหนักของ CLO เป็นค่าคำนวณจาก AssessmentCriteria (CR-02)</t>
        </is>
      </c>
    </row>
    <row r="41" ht="22" customHeight="1">
      <c r="B41" s="59" t="inlineStr">
        <is>
          <t>BehavioralObjective   (7 แถว)</t>
        </is>
      </c>
    </row>
    <row r="42">
      <c r="B42" s="60" t="inlineStr">
        <is>
          <t>เก็บอะไร: จุดประสงค์เชิงพฤติกรรมที่ย่อยลงมาจาก CLO แต่ละข้อ</t>
        </is>
      </c>
    </row>
    <row r="43">
      <c r="B43" s="61" t="inlineStr">
        <is>
          <t>ข้อมูลมาจาก: UI-2 CLO (บล็อกล่าง)</t>
        </is>
      </c>
    </row>
    <row r="44" ht="20" customHeight="1">
      <c r="B44" s="62" t="inlineStr">
        <is>
          <t>id</t>
        </is>
      </c>
      <c r="C44" s="62" t="inlineStr">
        <is>
          <t>cloId</t>
        </is>
      </c>
      <c r="D44" s="62" t="inlineStr">
        <is>
          <t>number</t>
        </is>
      </c>
      <c r="E44" s="62" t="inlineStr">
        <is>
          <t>description</t>
        </is>
      </c>
    </row>
    <row r="45">
      <c r="B45" s="63" t="inlineStr">
        <is>
          <t>obj-01</t>
        </is>
      </c>
      <c r="C45" s="64" t="inlineStr">
        <is>
          <t>clo-01</t>
        </is>
      </c>
      <c r="D45" s="67" t="n">
        <v>1</v>
      </c>
      <c r="E45" s="64" t="inlineStr">
        <is>
          <t>เขียน ER-Diagram จากความต้องการของผู้ใช้ได้</t>
        </is>
      </c>
    </row>
    <row r="46">
      <c r="B46" s="65" t="inlineStr">
        <is>
          <t>obj-02</t>
        </is>
      </c>
      <c r="C46" s="66" t="inlineStr">
        <is>
          <t>clo-01</t>
        </is>
      </c>
      <c r="D46" s="68" t="n">
        <v>2</v>
      </c>
      <c r="E46" s="66" t="inlineStr">
        <is>
          <t>แปลง ER-Diagram เป็นตารางเชิงสัมพันธ์ได้</t>
        </is>
      </c>
    </row>
    <row r="47">
      <c r="B47" s="63" t="inlineStr">
        <is>
          <t>obj-03</t>
        </is>
      </c>
      <c r="C47" s="64" t="inlineStr">
        <is>
          <t>clo-02</t>
        </is>
      </c>
      <c r="D47" s="67" t="n">
        <v>1</v>
      </c>
      <c r="E47" s="64" t="inlineStr">
        <is>
          <t>เขียนคำสั่ง SELECT พร้อม JOIN หลายตารางได้</t>
        </is>
      </c>
    </row>
    <row r="48">
      <c r="B48" s="65" t="inlineStr">
        <is>
          <t>obj-04</t>
        </is>
      </c>
      <c r="C48" s="66" t="inlineStr">
        <is>
          <t>clo-02</t>
        </is>
      </c>
      <c r="D48" s="68" t="n">
        <v>2</v>
      </c>
      <c r="E48" s="66" t="inlineStr">
        <is>
          <t>ใช้ subquery และฟังก์ชันรวม (aggregate) ได้</t>
        </is>
      </c>
    </row>
    <row r="49">
      <c r="B49" s="63" t="inlineStr">
        <is>
          <t>obj-05</t>
        </is>
      </c>
      <c r="C49" s="64" t="inlineStr">
        <is>
          <t>clo-03</t>
        </is>
      </c>
      <c r="D49" s="67" t="n">
        <v>1</v>
      </c>
      <c r="E49" s="64" t="inlineStr">
        <is>
          <t>ระบุ functional dependency ของตารางได้</t>
        </is>
      </c>
    </row>
    <row r="50">
      <c r="B50" s="65" t="inlineStr">
        <is>
          <t>obj-06</t>
        </is>
      </c>
      <c r="C50" s="66" t="inlineStr">
        <is>
          <t>clo-03</t>
        </is>
      </c>
      <c r="D50" s="68" t="n">
        <v>2</v>
      </c>
      <c r="E50" s="66" t="inlineStr">
        <is>
          <t>แปลงตารางให้อยู่ในรูป 3NF ได้</t>
        </is>
      </c>
    </row>
    <row r="51">
      <c r="B51" s="63" t="inlineStr">
        <is>
          <t>obj-07</t>
        </is>
      </c>
      <c r="C51" s="64" t="inlineStr">
        <is>
          <t>clo-04</t>
        </is>
      </c>
      <c r="D51" s="67" t="n">
        <v>1</v>
      </c>
      <c r="E51" s="64" t="inlineStr">
        <is>
          <t>นำเสนอผลงานกลุ่มต่อชั้นเรียนได้</t>
        </is>
      </c>
    </row>
    <row r="54" ht="22" customHeight="1">
      <c r="B54" s="59" t="inlineStr">
        <is>
          <t>Activity   (5 แถว)</t>
        </is>
      </c>
    </row>
    <row r="55">
      <c r="B55" s="60" t="inlineStr">
        <is>
          <t>เก็บอะไร: กิจกรรมการประเมิน พร้อมคะแนนเต็มและน้ำหนักต่อคะแนนรวมวิชา</t>
        </is>
      </c>
    </row>
    <row r="56">
      <c r="B56" s="61" t="inlineStr">
        <is>
          <t>ข้อมูลมาจาก: UI-3 กิจกรรม</t>
        </is>
      </c>
    </row>
    <row r="57" ht="20" customHeight="1">
      <c r="B57" s="62" t="inlineStr">
        <is>
          <t>id</t>
        </is>
      </c>
      <c r="C57" s="62" t="inlineStr">
        <is>
          <t>courseId</t>
        </is>
      </c>
      <c r="D57" s="62" t="inlineStr">
        <is>
          <t>name</t>
        </is>
      </c>
      <c r="E57" s="62" t="inlineStr">
        <is>
          <t>method</t>
        </is>
      </c>
      <c r="F57" s="62" t="inlineStr">
        <is>
          <t>maxScore</t>
        </is>
      </c>
      <c r="G57" s="62" t="inlineStr">
        <is>
          <t>order</t>
        </is>
      </c>
      <c r="H57" s="62" t="inlineStr">
        <is>
          <t>weight</t>
        </is>
      </c>
    </row>
    <row r="58">
      <c r="B58" s="63" t="inlineStr">
        <is>
          <t>act-01</t>
        </is>
      </c>
      <c r="C58" s="64" t="inlineStr">
        <is>
          <t>crs-01</t>
        </is>
      </c>
      <c r="D58" s="64" t="inlineStr">
        <is>
          <t>Quiz 1 — ER Diagram</t>
        </is>
      </c>
      <c r="E58" s="64" t="inlineStr">
        <is>
          <t>สอบย่อย</t>
        </is>
      </c>
      <c r="F58" s="67" t="n">
        <v>20</v>
      </c>
      <c r="G58" s="67" t="n">
        <v>1</v>
      </c>
      <c r="H58" s="67" t="n">
        <v>10</v>
      </c>
    </row>
    <row r="59">
      <c r="B59" s="65" t="inlineStr">
        <is>
          <t>act-02</t>
        </is>
      </c>
      <c r="C59" s="66" t="inlineStr">
        <is>
          <t>crs-01</t>
        </is>
      </c>
      <c r="D59" s="66" t="inlineStr">
        <is>
          <t>สอบกลางภาค</t>
        </is>
      </c>
      <c r="E59" s="66" t="inlineStr">
        <is>
          <t>สอบข้อเขียน</t>
        </is>
      </c>
      <c r="F59" s="68" t="n">
        <v>100</v>
      </c>
      <c r="G59" s="68" t="n">
        <v>2</v>
      </c>
      <c r="H59" s="68" t="n">
        <v>30</v>
      </c>
    </row>
    <row r="60">
      <c r="B60" s="63" t="inlineStr">
        <is>
          <t>act-03</t>
        </is>
      </c>
      <c r="C60" s="64" t="inlineStr">
        <is>
          <t>crs-01</t>
        </is>
      </c>
      <c r="D60" s="64" t="inlineStr">
        <is>
          <t>ปฏิบัติการ SQL (Lab)</t>
        </is>
      </c>
      <c r="E60" s="64" t="inlineStr">
        <is>
          <t>ประเมินชิ้นงาน</t>
        </is>
      </c>
      <c r="F60" s="67" t="n">
        <v>50</v>
      </c>
      <c r="G60" s="67" t="n">
        <v>3</v>
      </c>
      <c r="H60" s="67" t="n">
        <v>20</v>
      </c>
    </row>
    <row r="61">
      <c r="B61" s="65" t="inlineStr">
        <is>
          <t>act-04</t>
        </is>
      </c>
      <c r="C61" s="66" t="inlineStr">
        <is>
          <t>crs-01</t>
        </is>
      </c>
      <c r="D61" s="66" t="inlineStr">
        <is>
          <t>โปรเจกต์กลุ่ม</t>
        </is>
      </c>
      <c r="E61" s="66" t="inlineStr">
        <is>
          <t>ประเมินชิ้นงาน + นำเสนอ</t>
        </is>
      </c>
      <c r="F61" s="68" t="n">
        <v>100</v>
      </c>
      <c r="G61" s="68" t="n">
        <v>4</v>
      </c>
      <c r="H61" s="68" t="n">
        <v>25</v>
      </c>
    </row>
    <row r="62">
      <c r="B62" s="63" t="inlineStr">
        <is>
          <t>act-05</t>
        </is>
      </c>
      <c r="C62" s="64" t="inlineStr">
        <is>
          <t>crs-01</t>
        </is>
      </c>
      <c r="D62" s="64" t="inlineStr">
        <is>
          <t>สอบปลายภาค</t>
        </is>
      </c>
      <c r="E62" s="64" t="inlineStr">
        <is>
          <t>สอบข้อเขียน</t>
        </is>
      </c>
      <c r="F62" s="67" t="n">
        <v>100</v>
      </c>
      <c r="G62" s="67" t="n">
        <v>5</v>
      </c>
      <c r="H62" s="67" t="n">
        <v>15</v>
      </c>
    </row>
    <row r="63">
      <c r="B63" s="16" t="inlineStr">
        <is>
          <t>ผลรวม weight ของทุกแถวในวิชาเดียวกันต้องได้ 100 พอดี (CR-01) — ในชุดนี้ = 100</t>
        </is>
      </c>
    </row>
    <row r="66" ht="22" customHeight="1">
      <c r="B66" s="59" t="inlineStr">
        <is>
          <t>AssessmentCriteria   (10 แถว)</t>
        </is>
      </c>
    </row>
    <row r="67">
      <c r="B67" s="60" t="inlineStr">
        <is>
          <t>เก็บอะไร: กิจกรรมนี้ใช้วัด CLO ตัวไหน ด้วยน้ำหนักเท่าไร (ตารางเชื่อม Activity ↔ CLO แบบ M:N)</t>
        </is>
      </c>
    </row>
    <row r="68">
      <c r="B68" s="61" t="inlineStr">
        <is>
          <t>ข้อมูลมาจาก: UI-4 Mapping  (เฉพาะช่องที่ค่ามากกว่า 0)</t>
        </is>
      </c>
    </row>
    <row r="69" ht="20" customHeight="1">
      <c r="B69" s="62" t="inlineStr">
        <is>
          <t>id</t>
        </is>
      </c>
      <c r="C69" s="62" t="inlineStr">
        <is>
          <t>activityId</t>
        </is>
      </c>
      <c r="D69" s="62" t="inlineStr">
        <is>
          <t>cloId</t>
        </is>
      </c>
      <c r="E69" s="62" t="inlineStr">
        <is>
          <t>weight</t>
        </is>
      </c>
    </row>
    <row r="70">
      <c r="B70" s="63" t="inlineStr">
        <is>
          <t>ac-01</t>
        </is>
      </c>
      <c r="C70" s="64" t="inlineStr">
        <is>
          <t>act-01</t>
        </is>
      </c>
      <c r="D70" s="64" t="inlineStr">
        <is>
          <t>clo-01</t>
        </is>
      </c>
      <c r="E70" s="67" t="n">
        <v>100</v>
      </c>
    </row>
    <row r="71">
      <c r="B71" s="65" t="inlineStr">
        <is>
          <t>ac-02</t>
        </is>
      </c>
      <c r="C71" s="66" t="inlineStr">
        <is>
          <t>act-02</t>
        </is>
      </c>
      <c r="D71" s="66" t="inlineStr">
        <is>
          <t>clo-01</t>
        </is>
      </c>
      <c r="E71" s="68" t="n">
        <v>40</v>
      </c>
    </row>
    <row r="72">
      <c r="B72" s="63" t="inlineStr">
        <is>
          <t>ac-03</t>
        </is>
      </c>
      <c r="C72" s="64" t="inlineStr">
        <is>
          <t>act-02</t>
        </is>
      </c>
      <c r="D72" s="64" t="inlineStr">
        <is>
          <t>clo-02</t>
        </is>
      </c>
      <c r="E72" s="67" t="n">
        <v>60</v>
      </c>
    </row>
    <row r="73">
      <c r="B73" s="65" t="inlineStr">
        <is>
          <t>ac-04</t>
        </is>
      </c>
      <c r="C73" s="66" t="inlineStr">
        <is>
          <t>act-03</t>
        </is>
      </c>
      <c r="D73" s="66" t="inlineStr">
        <is>
          <t>clo-02</t>
        </is>
      </c>
      <c r="E73" s="68" t="n">
        <v>70</v>
      </c>
    </row>
    <row r="74">
      <c r="B74" s="63" t="inlineStr">
        <is>
          <t>ac-05</t>
        </is>
      </c>
      <c r="C74" s="64" t="inlineStr">
        <is>
          <t>act-03</t>
        </is>
      </c>
      <c r="D74" s="64" t="inlineStr">
        <is>
          <t>clo-03</t>
        </is>
      </c>
      <c r="E74" s="67" t="n">
        <v>30</v>
      </c>
    </row>
    <row r="75">
      <c r="B75" s="65" t="inlineStr">
        <is>
          <t>ac-06</t>
        </is>
      </c>
      <c r="C75" s="66" t="inlineStr">
        <is>
          <t>act-04</t>
        </is>
      </c>
      <c r="D75" s="66" t="inlineStr">
        <is>
          <t>clo-01</t>
        </is>
      </c>
      <c r="E75" s="68" t="n">
        <v>20</v>
      </c>
    </row>
    <row r="76">
      <c r="B76" s="63" t="inlineStr">
        <is>
          <t>ac-07</t>
        </is>
      </c>
      <c r="C76" s="64" t="inlineStr">
        <is>
          <t>act-04</t>
        </is>
      </c>
      <c r="D76" s="64" t="inlineStr">
        <is>
          <t>clo-03</t>
        </is>
      </c>
      <c r="E76" s="67" t="n">
        <v>40</v>
      </c>
    </row>
    <row r="77">
      <c r="B77" s="65" t="inlineStr">
        <is>
          <t>ac-08</t>
        </is>
      </c>
      <c r="C77" s="66" t="inlineStr">
        <is>
          <t>act-04</t>
        </is>
      </c>
      <c r="D77" s="66" t="inlineStr">
        <is>
          <t>clo-04</t>
        </is>
      </c>
      <c r="E77" s="68" t="n">
        <v>40</v>
      </c>
    </row>
    <row r="78">
      <c r="B78" s="63" t="inlineStr">
        <is>
          <t>ac-09</t>
        </is>
      </c>
      <c r="C78" s="64" t="inlineStr">
        <is>
          <t>act-05</t>
        </is>
      </c>
      <c r="D78" s="64" t="inlineStr">
        <is>
          <t>clo-02</t>
        </is>
      </c>
      <c r="E78" s="67" t="n">
        <v>50</v>
      </c>
    </row>
    <row r="79">
      <c r="B79" s="65" t="inlineStr">
        <is>
          <t>ac-10</t>
        </is>
      </c>
      <c r="C79" s="66" t="inlineStr">
        <is>
          <t>act-05</t>
        </is>
      </c>
      <c r="D79" s="66" t="inlineStr">
        <is>
          <t>clo-03</t>
        </is>
      </c>
      <c r="E79" s="68" t="n">
        <v>50</v>
      </c>
    </row>
    <row r="80">
      <c r="B80" s="16" t="inlineStr">
        <is>
          <t>เมทริกซ์บนหน้าจอมี 5×4 = 20 ช่อง แต่เกิดแถวจริงเพียง 10 แถว เพราะช่องที่เป็น 0 แปลว่า 'ไม่ได้วัด' จึงไม่มีความสัมพันธ์ให้เก็บ</t>
        </is>
      </c>
    </row>
    <row r="83" ht="22" customHeight="1">
      <c r="B83" s="59" t="inlineStr">
        <is>
          <t>ObjectiveAssessment   (7 แถว)</t>
        </is>
      </c>
    </row>
    <row r="84">
      <c r="B84" s="60" t="inlineStr">
        <is>
          <t>เก็บอะไร: เกณฑ์การประเมินข้อนี้ เป็นหลักฐานของจุดประสงค์เชิงพฤติกรรมข้อใด</t>
        </is>
      </c>
    </row>
    <row r="85">
      <c r="B85" s="61" t="inlineStr">
        <is>
          <t>ข้อมูลมาจาก: UI-4 Mapping (ส่วนขยาย — ไม่บังคับกรอก)</t>
        </is>
      </c>
    </row>
    <row r="86" ht="20" customHeight="1">
      <c r="B86" s="62" t="inlineStr">
        <is>
          <t>id</t>
        </is>
      </c>
      <c r="C86" s="62" t="inlineStr">
        <is>
          <t>criteriaId</t>
        </is>
      </c>
      <c r="D86" s="62" t="inlineStr">
        <is>
          <t>objectiveId</t>
        </is>
      </c>
    </row>
    <row r="87">
      <c r="B87" s="63" t="inlineStr">
        <is>
          <t>oa-01</t>
        </is>
      </c>
      <c r="C87" s="64" t="inlineStr">
        <is>
          <t>ac-01</t>
        </is>
      </c>
      <c r="D87" s="64" t="inlineStr">
        <is>
          <t>obj-01</t>
        </is>
      </c>
    </row>
    <row r="88">
      <c r="B88" s="65" t="inlineStr">
        <is>
          <t>oa-02</t>
        </is>
      </c>
      <c r="C88" s="66" t="inlineStr">
        <is>
          <t>ac-02</t>
        </is>
      </c>
      <c r="D88" s="66" t="inlineStr">
        <is>
          <t>obj-02</t>
        </is>
      </c>
    </row>
    <row r="89">
      <c r="B89" s="63" t="inlineStr">
        <is>
          <t>oa-03</t>
        </is>
      </c>
      <c r="C89" s="64" t="inlineStr">
        <is>
          <t>ac-03</t>
        </is>
      </c>
      <c r="D89" s="64" t="inlineStr">
        <is>
          <t>obj-03</t>
        </is>
      </c>
    </row>
    <row r="90">
      <c r="B90" s="65" t="inlineStr">
        <is>
          <t>oa-04</t>
        </is>
      </c>
      <c r="C90" s="66" t="inlineStr">
        <is>
          <t>ac-04</t>
        </is>
      </c>
      <c r="D90" s="66" t="inlineStr">
        <is>
          <t>obj-04</t>
        </is>
      </c>
    </row>
    <row r="91">
      <c r="B91" s="63" t="inlineStr">
        <is>
          <t>oa-05</t>
        </is>
      </c>
      <c r="C91" s="64" t="inlineStr">
        <is>
          <t>ac-05</t>
        </is>
      </c>
      <c r="D91" s="64" t="inlineStr">
        <is>
          <t>obj-05</t>
        </is>
      </c>
    </row>
    <row r="92">
      <c r="B92" s="65" t="inlineStr">
        <is>
          <t>oa-06</t>
        </is>
      </c>
      <c r="C92" s="66" t="inlineStr">
        <is>
          <t>ac-07</t>
        </is>
      </c>
      <c r="D92" s="66" t="inlineStr">
        <is>
          <t>obj-06</t>
        </is>
      </c>
    </row>
    <row r="93">
      <c r="B93" s="63" t="inlineStr">
        <is>
          <t>oa-07</t>
        </is>
      </c>
      <c r="C93" s="64" t="inlineStr">
        <is>
          <t>ac-08</t>
        </is>
      </c>
      <c r="D93" s="64" t="inlineStr">
        <is>
          <t>obj-07</t>
        </is>
      </c>
    </row>
    <row r="94">
      <c r="B94" s="16" t="inlineStr">
        <is>
          <t>trigger บังคับว่า objective ต้องเป็นของ CLO เดียวกับที่ criteria ผูกอยู่ (DC-06)</t>
        </is>
      </c>
    </row>
    <row r="97" ht="22" customHeight="1">
      <c r="B97" s="59" t="inlineStr">
        <is>
          <t>Student   (8 แถว)</t>
        </is>
      </c>
    </row>
    <row r="98">
      <c r="B98" s="60" t="inlineStr">
        <is>
          <t>เก็บอะไร: การลงทะเบียนเรียน 1 แถว = นักศึกษา 1 คนในวิชา 1 วิชา (ไม่ใช่ตัวบุคคล)</t>
        </is>
      </c>
    </row>
    <row r="99">
      <c r="B99" s="61" t="inlineStr">
        <is>
          <t>ข้อมูลมาจาก: UI-5 รายชื่อ</t>
        </is>
      </c>
    </row>
    <row r="100" ht="20" customHeight="1">
      <c r="B100" s="62" t="inlineStr">
        <is>
          <t>id</t>
        </is>
      </c>
      <c r="C100" s="62" t="inlineStr">
        <is>
          <t>courseId</t>
        </is>
      </c>
      <c r="D100" s="62" t="inlineStr">
        <is>
          <t>studentCode</t>
        </is>
      </c>
      <c r="E100" s="62" t="inlineStr">
        <is>
          <t>name</t>
        </is>
      </c>
    </row>
    <row r="101">
      <c r="B101" s="63" t="inlineStr">
        <is>
          <t>std-01</t>
        </is>
      </c>
      <c r="C101" s="64" t="inlineStr">
        <is>
          <t>crs-01</t>
        </is>
      </c>
      <c r="D101" s="64" t="inlineStr">
        <is>
          <t>65010001</t>
        </is>
      </c>
      <c r="E101" s="64" t="inlineStr">
        <is>
          <t>นายกิตติพงษ์ แสงทอง</t>
        </is>
      </c>
    </row>
    <row r="102">
      <c r="B102" s="65" t="inlineStr">
        <is>
          <t>std-02</t>
        </is>
      </c>
      <c r="C102" s="66" t="inlineStr">
        <is>
          <t>crs-01</t>
        </is>
      </c>
      <c r="D102" s="66" t="inlineStr">
        <is>
          <t>65010002</t>
        </is>
      </c>
      <c r="E102" s="66" t="inlineStr">
        <is>
          <t>นางสาวจิราพร มีสุข</t>
        </is>
      </c>
    </row>
    <row r="103">
      <c r="B103" s="63" t="inlineStr">
        <is>
          <t>std-03</t>
        </is>
      </c>
      <c r="C103" s="64" t="inlineStr">
        <is>
          <t>crs-01</t>
        </is>
      </c>
      <c r="D103" s="64" t="inlineStr">
        <is>
          <t>65010003</t>
        </is>
      </c>
      <c r="E103" s="64" t="inlineStr">
        <is>
          <t>นายธนกร ศรีสุข</t>
        </is>
      </c>
    </row>
    <row r="104">
      <c r="B104" s="65" t="inlineStr">
        <is>
          <t>std-04</t>
        </is>
      </c>
      <c r="C104" s="66" t="inlineStr">
        <is>
          <t>crs-01</t>
        </is>
      </c>
      <c r="D104" s="66" t="inlineStr">
        <is>
          <t>65010004</t>
        </is>
      </c>
      <c r="E104" s="66" t="inlineStr">
        <is>
          <t>นางสาวปาริชาติ วงศ์ดี</t>
        </is>
      </c>
    </row>
    <row r="105">
      <c r="B105" s="63" t="inlineStr">
        <is>
          <t>std-05</t>
        </is>
      </c>
      <c r="C105" s="64" t="inlineStr">
        <is>
          <t>crs-01</t>
        </is>
      </c>
      <c r="D105" s="64" t="inlineStr">
        <is>
          <t>65010005</t>
        </is>
      </c>
      <c r="E105" s="64" t="inlineStr">
        <is>
          <t>นายภานุวัฒน์ ทองสุข</t>
        </is>
      </c>
    </row>
    <row r="106">
      <c r="B106" s="65" t="inlineStr">
        <is>
          <t>std-06</t>
        </is>
      </c>
      <c r="C106" s="66" t="inlineStr">
        <is>
          <t>crs-01</t>
        </is>
      </c>
      <c r="D106" s="66" t="inlineStr">
        <is>
          <t>65010006</t>
        </is>
      </c>
      <c r="E106" s="66" t="inlineStr">
        <is>
          <t>นางสาวรัตนาภรณ์ ใจงาม</t>
        </is>
      </c>
    </row>
    <row r="107">
      <c r="B107" s="63" t="inlineStr">
        <is>
          <t>std-07</t>
        </is>
      </c>
      <c r="C107" s="64" t="inlineStr">
        <is>
          <t>crs-01</t>
        </is>
      </c>
      <c r="D107" s="64" t="inlineStr">
        <is>
          <t>65010007</t>
        </is>
      </c>
      <c r="E107" s="64" t="inlineStr">
        <is>
          <t>นายวรวุฒิ ชัยมงคล</t>
        </is>
      </c>
    </row>
    <row r="108">
      <c r="B108" s="65" t="inlineStr">
        <is>
          <t>std-08</t>
        </is>
      </c>
      <c r="C108" s="66" t="inlineStr">
        <is>
          <t>crs-01</t>
        </is>
      </c>
      <c r="D108" s="66" t="inlineStr">
        <is>
          <t>65010008</t>
        </is>
      </c>
      <c r="E108" s="66" t="inlineStr">
        <is>
          <t>นางสาวศิริพร แก้วมณี</t>
        </is>
      </c>
    </row>
    <row r="111" ht="22" customHeight="1">
      <c r="B111" s="59" t="inlineStr">
        <is>
          <t>Score   (34 แถว)</t>
        </is>
      </c>
    </row>
    <row r="112">
      <c r="B112" s="60" t="inlineStr">
        <is>
          <t>เก็บอะไร: คะแนนดิบ 1 แถว = นักศึกษา 1 คน ต่อกิจกรรม 1 อย่าง</t>
        </is>
      </c>
    </row>
    <row r="113">
      <c r="B113" s="61" t="inlineStr">
        <is>
          <t>ข้อมูลมาจาก: UI-6 กรอกคะแนน</t>
        </is>
      </c>
    </row>
    <row r="114" ht="20" customHeight="1">
      <c r="B114" s="62" t="inlineStr">
        <is>
          <t>id</t>
        </is>
      </c>
      <c r="C114" s="62" t="inlineStr">
        <is>
          <t>studentId</t>
        </is>
      </c>
      <c r="D114" s="62" t="inlineStr">
        <is>
          <t>activityId</t>
        </is>
      </c>
      <c r="E114" s="62" t="inlineStr">
        <is>
          <t>score</t>
        </is>
      </c>
      <c r="F114" s="62" t="inlineStr">
        <is>
          <t>(อ่านเป็นภาษาคน)</t>
        </is>
      </c>
    </row>
    <row r="115">
      <c r="B115" s="63" t="inlineStr">
        <is>
          <t>sc-01</t>
        </is>
      </c>
      <c r="C115" s="64" t="inlineStr">
        <is>
          <t>std-01</t>
        </is>
      </c>
      <c r="D115" s="64" t="inlineStr">
        <is>
          <t>act-01</t>
        </is>
      </c>
      <c r="E115" s="67" t="n">
        <v>18</v>
      </c>
      <c r="F115" s="64" t="inlineStr">
        <is>
          <t>65010001 · Quiz 1 — ER Diagram</t>
        </is>
      </c>
    </row>
    <row r="116">
      <c r="B116" s="65" t="inlineStr">
        <is>
          <t>sc-02</t>
        </is>
      </c>
      <c r="C116" s="66" t="inlineStr">
        <is>
          <t>std-01</t>
        </is>
      </c>
      <c r="D116" s="66" t="inlineStr">
        <is>
          <t>act-02</t>
        </is>
      </c>
      <c r="E116" s="68" t="n">
        <v>85</v>
      </c>
      <c r="F116" s="66" t="inlineStr">
        <is>
          <t>65010001 · สอบกลางภาค</t>
        </is>
      </c>
    </row>
    <row r="117">
      <c r="B117" s="63" t="inlineStr">
        <is>
          <t>sc-03</t>
        </is>
      </c>
      <c r="C117" s="64" t="inlineStr">
        <is>
          <t>std-01</t>
        </is>
      </c>
      <c r="D117" s="64" t="inlineStr">
        <is>
          <t>act-03</t>
        </is>
      </c>
      <c r="E117" s="67" t="n">
        <v>45</v>
      </c>
      <c r="F117" s="64" t="inlineStr">
        <is>
          <t>65010001 · ปฏิบัติการ SQL (Lab)</t>
        </is>
      </c>
    </row>
    <row r="118">
      <c r="B118" s="65" t="inlineStr">
        <is>
          <t>sc-04</t>
        </is>
      </c>
      <c r="C118" s="66" t="inlineStr">
        <is>
          <t>std-01</t>
        </is>
      </c>
      <c r="D118" s="66" t="inlineStr">
        <is>
          <t>act-04</t>
        </is>
      </c>
      <c r="E118" s="68" t="n">
        <v>88</v>
      </c>
      <c r="F118" s="66" t="inlineStr">
        <is>
          <t>65010001 · โปรเจกต์กลุ่ม</t>
        </is>
      </c>
    </row>
    <row r="119">
      <c r="B119" s="63" t="inlineStr">
        <is>
          <t>sc-05</t>
        </is>
      </c>
      <c r="C119" s="64" t="inlineStr">
        <is>
          <t>std-01</t>
        </is>
      </c>
      <c r="D119" s="64" t="inlineStr">
        <is>
          <t>act-05</t>
        </is>
      </c>
      <c r="E119" s="67" t="n">
        <v>82</v>
      </c>
      <c r="F119" s="64" t="inlineStr">
        <is>
          <t>65010001 · สอบปลายภาค</t>
        </is>
      </c>
    </row>
    <row r="120">
      <c r="B120" s="65" t="inlineStr">
        <is>
          <t>sc-06</t>
        </is>
      </c>
      <c r="C120" s="66" t="inlineStr">
        <is>
          <t>std-02</t>
        </is>
      </c>
      <c r="D120" s="66" t="inlineStr">
        <is>
          <t>act-01</t>
        </is>
      </c>
      <c r="E120" s="68" t="n">
        <v>15</v>
      </c>
      <c r="F120" s="66" t="inlineStr">
        <is>
          <t>65010002 · Quiz 1 — ER Diagram</t>
        </is>
      </c>
    </row>
    <row r="121">
      <c r="B121" s="63" t="inlineStr">
        <is>
          <t>sc-07</t>
        </is>
      </c>
      <c r="C121" s="64" t="inlineStr">
        <is>
          <t>std-02</t>
        </is>
      </c>
      <c r="D121" s="64" t="inlineStr">
        <is>
          <t>act-02</t>
        </is>
      </c>
      <c r="E121" s="67" t="n">
        <v>70</v>
      </c>
      <c r="F121" s="64" t="inlineStr">
        <is>
          <t>65010002 · สอบกลางภาค</t>
        </is>
      </c>
    </row>
    <row r="122">
      <c r="B122" s="65" t="inlineStr">
        <is>
          <t>sc-08</t>
        </is>
      </c>
      <c r="C122" s="66" t="inlineStr">
        <is>
          <t>std-02</t>
        </is>
      </c>
      <c r="D122" s="66" t="inlineStr">
        <is>
          <t>act-03</t>
        </is>
      </c>
      <c r="E122" s="68" t="n">
        <v>38</v>
      </c>
      <c r="F122" s="66" t="inlineStr">
        <is>
          <t>65010002 · ปฏิบัติการ SQL (Lab)</t>
        </is>
      </c>
    </row>
    <row r="123">
      <c r="B123" s="63" t="inlineStr">
        <is>
          <t>sc-09</t>
        </is>
      </c>
      <c r="C123" s="64" t="inlineStr">
        <is>
          <t>std-02</t>
        </is>
      </c>
      <c r="D123" s="64" t="inlineStr">
        <is>
          <t>act-04</t>
        </is>
      </c>
      <c r="E123" s="67" t="n">
        <v>75</v>
      </c>
      <c r="F123" s="64" t="inlineStr">
        <is>
          <t>65010002 · โปรเจกต์กลุ่ม</t>
        </is>
      </c>
    </row>
    <row r="124">
      <c r="B124" s="65" t="inlineStr">
        <is>
          <t>sc-10</t>
        </is>
      </c>
      <c r="C124" s="66" t="inlineStr">
        <is>
          <t>std-02</t>
        </is>
      </c>
      <c r="D124" s="66" t="inlineStr">
        <is>
          <t>act-05</t>
        </is>
      </c>
      <c r="E124" s="68" t="n">
        <v>68</v>
      </c>
      <c r="F124" s="66" t="inlineStr">
        <is>
          <t>65010002 · สอบปลายภาค</t>
        </is>
      </c>
    </row>
    <row r="125">
      <c r="B125" s="63" t="inlineStr">
        <is>
          <t>sc-11</t>
        </is>
      </c>
      <c r="C125" s="64" t="inlineStr">
        <is>
          <t>std-03</t>
        </is>
      </c>
      <c r="D125" s="64" t="inlineStr">
        <is>
          <t>act-01</t>
        </is>
      </c>
      <c r="E125" s="67" t="n">
        <v>12</v>
      </c>
      <c r="F125" s="64" t="inlineStr">
        <is>
          <t>65010003 · Quiz 1 — ER Diagram</t>
        </is>
      </c>
    </row>
    <row r="126">
      <c r="B126" s="65" t="inlineStr">
        <is>
          <t>sc-12</t>
        </is>
      </c>
      <c r="C126" s="66" t="inlineStr">
        <is>
          <t>std-03</t>
        </is>
      </c>
      <c r="D126" s="66" t="inlineStr">
        <is>
          <t>act-02</t>
        </is>
      </c>
      <c r="E126" s="68" t="n">
        <v>55</v>
      </c>
      <c r="F126" s="66" t="inlineStr">
        <is>
          <t>65010003 · สอบกลางภาค</t>
        </is>
      </c>
    </row>
    <row r="127">
      <c r="B127" s="63" t="inlineStr">
        <is>
          <t>sc-13</t>
        </is>
      </c>
      <c r="C127" s="64" t="inlineStr">
        <is>
          <t>std-03</t>
        </is>
      </c>
      <c r="D127" s="64" t="inlineStr">
        <is>
          <t>act-03</t>
        </is>
      </c>
      <c r="E127" s="67" t="n">
        <v>30</v>
      </c>
      <c r="F127" s="64" t="inlineStr">
        <is>
          <t>65010003 · ปฏิบัติการ SQL (Lab)</t>
        </is>
      </c>
    </row>
    <row r="128">
      <c r="B128" s="65" t="inlineStr">
        <is>
          <t>sc-14</t>
        </is>
      </c>
      <c r="C128" s="66" t="inlineStr">
        <is>
          <t>std-03</t>
        </is>
      </c>
      <c r="D128" s="66" t="inlineStr">
        <is>
          <t>act-04</t>
        </is>
      </c>
      <c r="E128" s="68" t="n">
        <v>62</v>
      </c>
      <c r="F128" s="66" t="inlineStr">
        <is>
          <t>65010003 · โปรเจกต์กลุ่ม</t>
        </is>
      </c>
    </row>
    <row r="129">
      <c r="B129" s="63" t="inlineStr">
        <is>
          <t>sc-15</t>
        </is>
      </c>
      <c r="C129" s="64" t="inlineStr">
        <is>
          <t>std-03</t>
        </is>
      </c>
      <c r="D129" s="64" t="inlineStr">
        <is>
          <t>act-05</t>
        </is>
      </c>
      <c r="E129" s="67" t="n">
        <v>58</v>
      </c>
      <c r="F129" s="64" t="inlineStr">
        <is>
          <t>65010003 · สอบปลายภาค</t>
        </is>
      </c>
    </row>
    <row r="130">
      <c r="B130" s="65" t="inlineStr">
        <is>
          <t>sc-16</t>
        </is>
      </c>
      <c r="C130" s="66" t="inlineStr">
        <is>
          <t>std-04</t>
        </is>
      </c>
      <c r="D130" s="66" t="inlineStr">
        <is>
          <t>act-01</t>
        </is>
      </c>
      <c r="E130" s="68" t="n">
        <v>8</v>
      </c>
      <c r="F130" s="66" t="inlineStr">
        <is>
          <t>65010004 · Quiz 1 — ER Diagram</t>
        </is>
      </c>
    </row>
    <row r="131">
      <c r="B131" s="63" t="inlineStr">
        <is>
          <t>sc-17</t>
        </is>
      </c>
      <c r="C131" s="64" t="inlineStr">
        <is>
          <t>std-04</t>
        </is>
      </c>
      <c r="D131" s="64" t="inlineStr">
        <is>
          <t>act-02</t>
        </is>
      </c>
      <c r="E131" s="67" t="n">
        <v>42</v>
      </c>
      <c r="F131" s="64" t="inlineStr">
        <is>
          <t>65010004 · สอบกลางภาค</t>
        </is>
      </c>
    </row>
    <row r="132">
      <c r="B132" s="65" t="inlineStr">
        <is>
          <t>sc-18</t>
        </is>
      </c>
      <c r="C132" s="66" t="inlineStr">
        <is>
          <t>std-04</t>
        </is>
      </c>
      <c r="D132" s="66" t="inlineStr">
        <is>
          <t>act-03</t>
        </is>
      </c>
      <c r="E132" s="68" t="n">
        <v>22</v>
      </c>
      <c r="F132" s="66" t="inlineStr">
        <is>
          <t>65010004 · ปฏิบัติการ SQL (Lab)</t>
        </is>
      </c>
    </row>
    <row r="133">
      <c r="B133" s="63" t="inlineStr">
        <is>
          <t>sc-19</t>
        </is>
      </c>
      <c r="C133" s="64" t="inlineStr">
        <is>
          <t>std-04</t>
        </is>
      </c>
      <c r="D133" s="64" t="inlineStr">
        <is>
          <t>act-04</t>
        </is>
      </c>
      <c r="E133" s="67" t="n">
        <v>55</v>
      </c>
      <c r="F133" s="64" t="inlineStr">
        <is>
          <t>65010004 · โปรเจกต์กลุ่ม</t>
        </is>
      </c>
    </row>
    <row r="134">
      <c r="B134" s="65" t="inlineStr">
        <is>
          <t>sc-20</t>
        </is>
      </c>
      <c r="C134" s="66" t="inlineStr">
        <is>
          <t>std-04</t>
        </is>
      </c>
      <c r="D134" s="66" t="inlineStr">
        <is>
          <t>act-05</t>
        </is>
      </c>
      <c r="E134" s="68" t="n">
        <v>40</v>
      </c>
      <c r="F134" s="66" t="inlineStr">
        <is>
          <t>65010004 · สอบปลายภาค</t>
        </is>
      </c>
    </row>
    <row r="135">
      <c r="B135" s="63" t="inlineStr">
        <is>
          <t>sc-21</t>
        </is>
      </c>
      <c r="C135" s="64" t="inlineStr">
        <is>
          <t>std-05</t>
        </is>
      </c>
      <c r="D135" s="64" t="inlineStr">
        <is>
          <t>act-01</t>
        </is>
      </c>
      <c r="E135" s="67" t="n">
        <v>20</v>
      </c>
      <c r="F135" s="64" t="inlineStr">
        <is>
          <t>65010005 · Quiz 1 — ER Diagram</t>
        </is>
      </c>
    </row>
    <row r="136">
      <c r="B136" s="65" t="inlineStr">
        <is>
          <t>sc-22</t>
        </is>
      </c>
      <c r="C136" s="66" t="inlineStr">
        <is>
          <t>std-05</t>
        </is>
      </c>
      <c r="D136" s="66" t="inlineStr">
        <is>
          <t>act-02</t>
        </is>
      </c>
      <c r="E136" s="68" t="n">
        <v>92</v>
      </c>
      <c r="F136" s="66" t="inlineStr">
        <is>
          <t>65010005 · สอบกลางภาค</t>
        </is>
      </c>
    </row>
    <row r="137">
      <c r="B137" s="63" t="inlineStr">
        <is>
          <t>sc-23</t>
        </is>
      </c>
      <c r="C137" s="64" t="inlineStr">
        <is>
          <t>std-05</t>
        </is>
      </c>
      <c r="D137" s="64" t="inlineStr">
        <is>
          <t>act-03</t>
        </is>
      </c>
      <c r="E137" s="67" t="n">
        <v>48</v>
      </c>
      <c r="F137" s="64" t="inlineStr">
        <is>
          <t>65010005 · ปฏิบัติการ SQL (Lab)</t>
        </is>
      </c>
    </row>
    <row r="138">
      <c r="B138" s="65" t="inlineStr">
        <is>
          <t>sc-24</t>
        </is>
      </c>
      <c r="C138" s="66" t="inlineStr">
        <is>
          <t>std-05</t>
        </is>
      </c>
      <c r="D138" s="66" t="inlineStr">
        <is>
          <t>act-04</t>
        </is>
      </c>
      <c r="E138" s="68" t="n">
        <v>95</v>
      </c>
      <c r="F138" s="66" t="inlineStr">
        <is>
          <t>65010005 · โปรเจกต์กลุ่ม</t>
        </is>
      </c>
    </row>
    <row r="139">
      <c r="B139" s="63" t="inlineStr">
        <is>
          <t>sc-25</t>
        </is>
      </c>
      <c r="C139" s="64" t="inlineStr">
        <is>
          <t>std-05</t>
        </is>
      </c>
      <c r="D139" s="64" t="inlineStr">
        <is>
          <t>act-05</t>
        </is>
      </c>
      <c r="E139" s="67" t="n">
        <v>90</v>
      </c>
      <c r="F139" s="64" t="inlineStr">
        <is>
          <t>65010005 · สอบปลายภาค</t>
        </is>
      </c>
    </row>
    <row r="140">
      <c r="B140" s="65" t="inlineStr">
        <is>
          <t>sc-26</t>
        </is>
      </c>
      <c r="C140" s="66" t="inlineStr">
        <is>
          <t>std-06</t>
        </is>
      </c>
      <c r="D140" s="66" t="inlineStr">
        <is>
          <t>act-01</t>
        </is>
      </c>
      <c r="E140" s="68" t="n">
        <v>14</v>
      </c>
      <c r="F140" s="66" t="inlineStr">
        <is>
          <t>65010006 · Quiz 1 — ER Diagram</t>
        </is>
      </c>
    </row>
    <row r="141">
      <c r="B141" s="63" t="inlineStr">
        <is>
          <t>sc-27</t>
        </is>
      </c>
      <c r="C141" s="64" t="inlineStr">
        <is>
          <t>std-06</t>
        </is>
      </c>
      <c r="D141" s="64" t="inlineStr">
        <is>
          <t>act-02</t>
        </is>
      </c>
      <c r="E141" s="67" t="n">
        <v>65</v>
      </c>
      <c r="F141" s="64" t="inlineStr">
        <is>
          <t>65010006 · สอบกลางภาค</t>
        </is>
      </c>
    </row>
    <row r="142">
      <c r="B142" s="65" t="inlineStr">
        <is>
          <t>sc-28</t>
        </is>
      </c>
      <c r="C142" s="66" t="inlineStr">
        <is>
          <t>std-06</t>
        </is>
      </c>
      <c r="D142" s="66" t="inlineStr">
        <is>
          <t>act-04</t>
        </is>
      </c>
      <c r="E142" s="68" t="n">
        <v>70</v>
      </c>
      <c r="F142" s="66" t="inlineStr">
        <is>
          <t>65010006 · โปรเจกต์กลุ่ม</t>
        </is>
      </c>
    </row>
    <row r="143">
      <c r="B143" s="63" t="inlineStr">
        <is>
          <t>sc-29</t>
        </is>
      </c>
      <c r="C143" s="64" t="inlineStr">
        <is>
          <t>std-06</t>
        </is>
      </c>
      <c r="D143" s="64" t="inlineStr">
        <is>
          <t>act-05</t>
        </is>
      </c>
      <c r="E143" s="67" t="n">
        <v>60</v>
      </c>
      <c r="F143" s="64" t="inlineStr">
        <is>
          <t>65010006 · สอบปลายภาค</t>
        </is>
      </c>
    </row>
    <row r="144">
      <c r="B144" s="65" t="inlineStr">
        <is>
          <t>sc-30</t>
        </is>
      </c>
      <c r="C144" s="66" t="inlineStr">
        <is>
          <t>std-07</t>
        </is>
      </c>
      <c r="D144" s="66" t="inlineStr">
        <is>
          <t>act-01</t>
        </is>
      </c>
      <c r="E144" s="68" t="n">
        <v>0</v>
      </c>
      <c r="F144" s="66" t="inlineStr">
        <is>
          <t>65010007 · Quiz 1 — ER Diagram</t>
        </is>
      </c>
    </row>
    <row r="145">
      <c r="B145" s="63" t="inlineStr">
        <is>
          <t>sc-31</t>
        </is>
      </c>
      <c r="C145" s="64" t="inlineStr">
        <is>
          <t>std-07</t>
        </is>
      </c>
      <c r="D145" s="64" t="inlineStr">
        <is>
          <t>act-02</t>
        </is>
      </c>
      <c r="E145" s="67" t="n">
        <v>38</v>
      </c>
      <c r="F145" s="64" t="inlineStr">
        <is>
          <t>65010007 · สอบกลางภาค</t>
        </is>
      </c>
    </row>
    <row r="146">
      <c r="B146" s="65" t="inlineStr">
        <is>
          <t>sc-32</t>
        </is>
      </c>
      <c r="C146" s="66" t="inlineStr">
        <is>
          <t>std-07</t>
        </is>
      </c>
      <c r="D146" s="66" t="inlineStr">
        <is>
          <t>act-03</t>
        </is>
      </c>
      <c r="E146" s="68" t="n">
        <v>20</v>
      </c>
      <c r="F146" s="66" t="inlineStr">
        <is>
          <t>65010007 · ปฏิบัติการ SQL (Lab)</t>
        </is>
      </c>
    </row>
    <row r="147">
      <c r="B147" s="63" t="inlineStr">
        <is>
          <t>sc-33</t>
        </is>
      </c>
      <c r="C147" s="64" t="inlineStr">
        <is>
          <t>std-07</t>
        </is>
      </c>
      <c r="D147" s="64" t="inlineStr">
        <is>
          <t>act-04</t>
        </is>
      </c>
      <c r="E147" s="67" t="n">
        <v>50</v>
      </c>
      <c r="F147" s="64" t="inlineStr">
        <is>
          <t>65010007 · โปรเจกต์กลุ่ม</t>
        </is>
      </c>
    </row>
    <row r="148">
      <c r="B148" s="65" t="inlineStr">
        <is>
          <t>sc-34</t>
        </is>
      </c>
      <c r="C148" s="66" t="inlineStr">
        <is>
          <t>std-07</t>
        </is>
      </c>
      <c r="D148" s="66" t="inlineStr">
        <is>
          <t>act-05</t>
        </is>
      </c>
      <c r="E148" s="68" t="n">
        <v>35</v>
      </c>
      <c r="F148" s="66" t="inlineStr">
        <is>
          <t>65010007 · สอบปลายภาค</t>
        </is>
      </c>
    </row>
    <row r="149">
      <c r="B149" s="16" t="inlineStr">
        <is>
          <t>ไม่มีแถวสำหรับช่องที่ยังไม่ประเมิน 6 ช่อง — เช่น 65010006 ยังไม่มีคะแนน ปฏิบัติการ SQL (Lab) จึงไม่มีแถว ไม่ใช่แถวที่ score = 0</t>
        </is>
      </c>
    </row>
    <row r="152" ht="22" customHeight="1">
      <c r="B152" s="59" t="inlineStr">
        <is>
          <t>ScoreUploadLog   (2 แถว)</t>
        </is>
      </c>
    </row>
    <row r="153">
      <c r="B153" s="60" t="inlineStr">
        <is>
          <t>เก็บอะไร: ประวัติการนำเข้าไฟล์คะแนน — ใครอัปโหลด เมื่อไร ไฟล์อะไร สำเร็จ/ล้มเหลวกี่แถว</t>
        </is>
      </c>
    </row>
    <row r="154">
      <c r="B154" s="61" t="inlineStr">
        <is>
          <t>ข้อมูลมาจาก: เกิดอัตโนมัติทุกครั้งที่อัปโหลดไฟล์ Excel</t>
        </is>
      </c>
    </row>
    <row r="155" ht="20" customHeight="1">
      <c r="B155" s="62" t="inlineStr">
        <is>
          <t>id</t>
        </is>
      </c>
      <c r="C155" s="62" t="inlineStr">
        <is>
          <t>courseId</t>
        </is>
      </c>
      <c r="D155" s="62" t="inlineStr">
        <is>
          <t>uploadedBy</t>
        </is>
      </c>
      <c r="E155" s="62" t="inlineStr">
        <is>
          <t>fileName</t>
        </is>
      </c>
      <c r="F155" s="62" t="inlineStr">
        <is>
          <t>recordsOk</t>
        </is>
      </c>
      <c r="G155" s="62" t="inlineStr">
        <is>
          <t>recordsFail</t>
        </is>
      </c>
      <c r="H155" s="62" t="inlineStr">
        <is>
          <t>createdAt</t>
        </is>
      </c>
    </row>
    <row r="156">
      <c r="B156" s="63" t="inlineStr">
        <is>
          <t>log-01</t>
        </is>
      </c>
      <c r="C156" s="64" t="inlineStr">
        <is>
          <t>crs-01</t>
        </is>
      </c>
      <c r="D156" s="64" t="inlineStr">
        <is>
          <t>usr-02</t>
        </is>
      </c>
      <c r="E156" s="64" t="inlineStr">
        <is>
          <t>midterm_90641002.xlsx</t>
        </is>
      </c>
      <c r="F156" s="67" t="n">
        <v>8</v>
      </c>
      <c r="G156" s="67" t="n">
        <v>0</v>
      </c>
      <c r="H156" s="64" t="inlineStr">
        <is>
          <t>2568-08-01 14:20</t>
        </is>
      </c>
    </row>
    <row r="157">
      <c r="B157" s="65" t="inlineStr">
        <is>
          <t>log-02</t>
        </is>
      </c>
      <c r="C157" s="66" t="inlineStr">
        <is>
          <t>crs-01</t>
        </is>
      </c>
      <c r="D157" s="66" t="inlineStr">
        <is>
          <t>usr-02</t>
        </is>
      </c>
      <c r="E157" s="66" t="inlineStr">
        <is>
          <t>lab_sql_90641002.xlsx</t>
        </is>
      </c>
      <c r="F157" s="68" t="n">
        <v>7</v>
      </c>
      <c r="G157" s="68" t="n">
        <v>1</v>
      </c>
      <c r="H157" s="66" t="inlineStr">
        <is>
          <t>2568-08-15 09:05</t>
        </is>
      </c>
    </row>
    <row r="158">
      <c r="B158" s="16" t="inlineStr">
        <is>
          <t>อยู่นอกเส้นทางการคำนวณทั้งหมด — ไม่มีตารางใดอ้างอิงกลับมาที่ log นี้ (NFR-16)</t>
        </is>
      </c>
    </row>
    <row r="161" ht="22" customHeight="1">
      <c r="B161" s="69" t="inlineStr">
        <is>
          <t>ไม่มีตารางเก็บผลการคำนวณ</t>
        </is>
      </c>
    </row>
    <row r="162">
      <c r="B162" s="16" t="inlineStr">
        <is>
          <t>คะแนน CLO รายบุคคล · attainment ระดับชั้น · สถานะ at-risk — ทั้งหมดคำนวณสดจาก Score และ AssessmentCriteria ทุกครั้งที่เปิดดู จึงไม่มีทางขัดแย้งกับคะแนนดิบ และการแก้คะแนนย้อนหลัง จะสะท้อนผลทันทีโดยไม่ต้องสั่งคำนวณใหม่ (ดูหน้า UI-7 ผลลัพธ์ CLO)</t>
        </is>
      </c>
    </row>
  </sheetData>
  <mergeCells count="43">
    <mergeCell ref="B4:F4"/>
    <mergeCell ref="B113:F113"/>
    <mergeCell ref="B83:E83"/>
    <mergeCell ref="B158:H158"/>
    <mergeCell ref="B14:J14"/>
    <mergeCell ref="B68:E68"/>
    <mergeCell ref="B55:H55"/>
    <mergeCell ref="B31:F31"/>
    <mergeCell ref="B22:F22"/>
    <mergeCell ref="B80:E80"/>
    <mergeCell ref="B149:F149"/>
    <mergeCell ref="B27:F27"/>
    <mergeCell ref="B85:E85"/>
    <mergeCell ref="B63:H63"/>
    <mergeCell ref="B21:F21"/>
    <mergeCell ref="B41:E41"/>
    <mergeCell ref="B161:I161"/>
    <mergeCell ref="B154:H154"/>
    <mergeCell ref="B111:F111"/>
    <mergeCell ref="B97:E97"/>
    <mergeCell ref="B11:F11"/>
    <mergeCell ref="B153:H153"/>
    <mergeCell ref="B54:H54"/>
    <mergeCell ref="B23:F23"/>
    <mergeCell ref="B66:E66"/>
    <mergeCell ref="B15:J15"/>
    <mergeCell ref="B162:I162"/>
    <mergeCell ref="B38:F38"/>
    <mergeCell ref="B56:H56"/>
    <mergeCell ref="B43:E43"/>
    <mergeCell ref="B94:D94"/>
    <mergeCell ref="B112:F112"/>
    <mergeCell ref="B152:H152"/>
    <mergeCell ref="B42:E42"/>
    <mergeCell ref="B16:J16"/>
    <mergeCell ref="B67:E67"/>
    <mergeCell ref="B30:F30"/>
    <mergeCell ref="B98:E98"/>
    <mergeCell ref="B6:F6"/>
    <mergeCell ref="B5:F5"/>
    <mergeCell ref="B32:F32"/>
    <mergeCell ref="B99:E99"/>
    <mergeCell ref="B84:E8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4" customWidth="1" min="3" max="3"/>
    <col width="26" customWidth="1" min="4" max="4"/>
    <col width="24" customWidth="1" min="5" max="5"/>
    <col width="52" customWidth="1" min="6" max="6"/>
  </cols>
  <sheetData>
    <row r="1">
      <c r="A1" s="1" t="inlineStr">
        <is>
          <t>แผนที่ระดับช่องกรอก — UI → ตาราง.คอลัมน์</t>
        </is>
      </c>
    </row>
    <row r="2">
      <c r="A2" s="2" t="inlineStr">
        <is>
          <t>ใช้ตอบคำถามว่า 'ช่องนี้บนหน้าจอ ไปโผล่ที่ไหนในฐานข้อมูล' และ 'ค่านี้ใครเป็นคนคำนวณ'</t>
        </is>
      </c>
    </row>
    <row r="4" ht="22" customHeight="1">
      <c r="B4" s="4" t="inlineStr">
        <is>
          <t>หน้าจอ</t>
        </is>
      </c>
      <c r="C4" s="4" t="inlineStr">
        <is>
          <t>ช่องกรอก / สิ่งที่เห็น</t>
        </is>
      </c>
      <c r="D4" s="4" t="inlineStr">
        <is>
          <t>ตาราง</t>
        </is>
      </c>
      <c r="E4" s="4" t="inlineStr">
        <is>
          <t>คอลัมน์</t>
        </is>
      </c>
      <c r="F4" s="4" t="inlineStr">
        <is>
          <t>หมายเหตุ</t>
        </is>
      </c>
    </row>
    <row r="5">
      <c r="B5" s="40" t="inlineStr">
        <is>
          <t>UI-1 รายวิชา</t>
        </is>
      </c>
      <c r="C5" s="22" t="inlineStr">
        <is>
          <t>รหัสวิชา / ภาค / ปี / กลุ่ม</t>
        </is>
      </c>
      <c r="D5" s="7" t="inlineStr">
        <is>
          <t>Course</t>
        </is>
      </c>
      <c r="E5" s="19" t="inlineStr">
        <is>
          <t>code, semester, year, section</t>
        </is>
      </c>
      <c r="F5" s="40" t="inlineStr">
        <is>
          <t>4 ค่านี้รวมกันต้องไม่ซ้ำทั้งระบบ (FR-21)</t>
        </is>
      </c>
    </row>
    <row r="6">
      <c r="B6" s="42" t="inlineStr">
        <is>
          <t>UI-1 รายวิชา</t>
        </is>
      </c>
      <c r="C6" s="25" t="inlineStr">
        <is>
          <t>เกณฑ์ผ่านรายวิชา</t>
        </is>
      </c>
      <c r="D6" s="10" t="inlineStr">
        <is>
          <t>Course</t>
        </is>
      </c>
      <c r="E6" s="20" t="inlineStr">
        <is>
          <t>passCriteria</t>
        </is>
      </c>
      <c r="F6" s="42" t="inlineStr">
        <is>
          <t>CR-05 ใช้ตัดสินว่านักศึกษาผ่านวิชาหรือไม่</t>
        </is>
      </c>
    </row>
    <row r="7">
      <c r="B7" s="40" t="inlineStr">
        <is>
          <t>UI-1 รายวิชา</t>
        </is>
      </c>
      <c r="C7" s="22" t="inlineStr">
        <is>
          <t>เป้าหมายระดับชั้น</t>
        </is>
      </c>
      <c r="D7" s="7" t="inlineStr">
        <is>
          <t>Course</t>
        </is>
      </c>
      <c r="E7" s="19" t="inlineStr">
        <is>
          <t>classTarget</t>
        </is>
      </c>
      <c r="F7" s="40" t="inlineStr">
        <is>
          <t>CR-04 ใช้ตัดสินว่า CLO บรรลุหรือไม่</t>
        </is>
      </c>
    </row>
    <row r="8">
      <c r="B8" s="42" t="inlineStr">
        <is>
          <t>UI-2 CLO</t>
        </is>
      </c>
      <c r="C8" s="25" t="inlineStr">
        <is>
          <t>คำอธิบาย CLO</t>
        </is>
      </c>
      <c r="D8" s="10" t="inlineStr">
        <is>
          <t>CLO</t>
        </is>
      </c>
      <c r="E8" s="20" t="inlineStr">
        <is>
          <t>description</t>
        </is>
      </c>
      <c r="F8" s="42" t="inlineStr"/>
    </row>
    <row r="9">
      <c r="B9" s="40" t="inlineStr">
        <is>
          <t>UI-2 CLO</t>
        </is>
      </c>
      <c r="C9" s="22" t="inlineStr">
        <is>
          <t>เกณฑ์ผ่านของ CLO</t>
        </is>
      </c>
      <c r="D9" s="7" t="inlineStr">
        <is>
          <t>CLO</t>
        </is>
      </c>
      <c r="E9" s="19" t="inlineStr">
        <is>
          <t>threshold</t>
        </is>
      </c>
      <c r="F9" s="40" t="inlineStr">
        <is>
          <t>เกณฑ์รายบุคคล ไม่ใช่ระดับชั้น</t>
        </is>
      </c>
    </row>
    <row r="10">
      <c r="B10" s="42" t="inlineStr">
        <is>
          <t>UI-2 CLO</t>
        </is>
      </c>
      <c r="C10" s="25" t="inlineStr">
        <is>
          <t>จุดประสงค์เชิงพฤติกรรม</t>
        </is>
      </c>
      <c r="D10" s="10" t="inlineStr">
        <is>
          <t>BehavioralObjective</t>
        </is>
      </c>
      <c r="E10" s="20" t="inlineStr">
        <is>
          <t>cloId, number, description</t>
        </is>
      </c>
      <c r="F10" s="42" t="inlineStr">
        <is>
          <t>ไม่กระทบคะแนนที่คำนวณ (FR-35)</t>
        </is>
      </c>
    </row>
    <row r="11">
      <c r="B11" s="40" t="inlineStr">
        <is>
          <t>UI-3 กิจกรรม</t>
        </is>
      </c>
      <c r="C11" s="22" t="inlineStr">
        <is>
          <t>ชื่อกิจกรรม / วิธีประเมิน</t>
        </is>
      </c>
      <c r="D11" s="7" t="inlineStr">
        <is>
          <t>Activity</t>
        </is>
      </c>
      <c r="E11" s="19" t="inlineStr">
        <is>
          <t>name, method</t>
        </is>
      </c>
      <c r="F11" s="40" t="inlineStr"/>
    </row>
    <row r="12">
      <c r="B12" s="42" t="inlineStr">
        <is>
          <t>UI-3 กิจกรรม</t>
        </is>
      </c>
      <c r="C12" s="25" t="inlineStr">
        <is>
          <t>คะแนนเต็ม</t>
        </is>
      </c>
      <c r="D12" s="10" t="inlineStr">
        <is>
          <t>Activity</t>
        </is>
      </c>
      <c r="E12" s="20" t="inlineStr">
        <is>
          <t>maxScore</t>
        </is>
      </c>
      <c r="F12" s="42" t="inlineStr">
        <is>
          <t>ต้อง &gt; 0 บังคับที่ฐานข้อมูล (DC-03)</t>
        </is>
      </c>
    </row>
    <row r="13">
      <c r="B13" s="40" t="inlineStr">
        <is>
          <t>UI-3 กิจกรรม</t>
        </is>
      </c>
      <c r="C13" s="22" t="inlineStr">
        <is>
          <t>น้ำหนักต่อวิชา</t>
        </is>
      </c>
      <c r="D13" s="7" t="inlineStr">
        <is>
          <t>Activity</t>
        </is>
      </c>
      <c r="E13" s="19" t="inlineStr">
        <is>
          <t>weight</t>
        </is>
      </c>
      <c r="F13" s="40" t="inlineStr">
        <is>
          <t>รวมทุกกิจกรรมในวิชา = 100 (CR-01)</t>
        </is>
      </c>
    </row>
    <row r="14">
      <c r="B14" s="42" t="inlineStr">
        <is>
          <t>UI-4 Mapping</t>
        </is>
      </c>
      <c r="C14" s="25" t="inlineStr">
        <is>
          <t>ตัวเลขในเมทริกซ์ (&gt; 0)</t>
        </is>
      </c>
      <c r="D14" s="10" t="inlineStr">
        <is>
          <t>AssessmentCriteria</t>
        </is>
      </c>
      <c r="E14" s="20" t="inlineStr">
        <is>
          <t>activityId, cloId, weight</t>
        </is>
      </c>
      <c r="F14" s="42" t="inlineStr">
        <is>
          <t>ช่องที่เป็น 0 ไม่สร้างแถว</t>
        </is>
      </c>
    </row>
    <row r="15">
      <c r="B15" s="35" t="inlineStr">
        <is>
          <t>UI-4 Mapping</t>
        </is>
      </c>
      <c r="C15" s="70" t="inlineStr">
        <is>
          <t>แถว 'น้ำหนักของ CLO'</t>
        </is>
      </c>
      <c r="D15" s="13" t="inlineStr">
        <is>
          <t>— ไม่เก็บ —</t>
        </is>
      </c>
      <c r="E15" s="71" t="inlineStr">
        <is>
          <t>คำนวณ (CR-02)</t>
        </is>
      </c>
      <c r="F15" s="35" t="inlineStr">
        <is>
          <t>ถ้าเก็บซ้ำจะมีวันที่ค่าสองที่ไม่ตรงกัน</t>
        </is>
      </c>
    </row>
    <row r="16">
      <c r="B16" s="42" t="inlineStr">
        <is>
          <t>UI-5 รายชื่อ</t>
        </is>
      </c>
      <c r="C16" s="25" t="inlineStr">
        <is>
          <t>รหัสนักศึกษา / ชื่อ</t>
        </is>
      </c>
      <c r="D16" s="10" t="inlineStr">
        <is>
          <t>Student</t>
        </is>
      </c>
      <c r="E16" s="20" t="inlineStr">
        <is>
          <t>studentCode, name, courseId</t>
        </is>
      </c>
      <c r="F16" s="42" t="inlineStr">
        <is>
          <t>ห้ามซ้ำภายในวิชาเดียวกัน (FR-51)</t>
        </is>
      </c>
    </row>
    <row r="17">
      <c r="B17" s="40" t="inlineStr">
        <is>
          <t>UI-6 กรอกคะแนน</t>
        </is>
      </c>
      <c r="C17" s="22" t="inlineStr">
        <is>
          <t>ตัวเลขคะแนนในตาราง</t>
        </is>
      </c>
      <c r="D17" s="7" t="inlineStr">
        <is>
          <t>Score</t>
        </is>
      </c>
      <c r="E17" s="19" t="inlineStr">
        <is>
          <t>studentId, activityId, score</t>
        </is>
      </c>
      <c r="F17" s="40" t="inlineStr">
        <is>
          <t>ช่องว่างไม่สร้างแถว · 0 สร้างแถว (FR-62)</t>
        </is>
      </c>
    </row>
    <row r="18">
      <c r="B18" s="42" t="inlineStr">
        <is>
          <t>UI-6 กรอกคะแนน</t>
        </is>
      </c>
      <c r="C18" s="25" t="inlineStr">
        <is>
          <t>การอัปโหลดไฟล์</t>
        </is>
      </c>
      <c r="D18" s="10" t="inlineStr">
        <is>
          <t>ScoreUploadLog</t>
        </is>
      </c>
      <c r="E18" s="20" t="inlineStr">
        <is>
          <t>fileName, recordsOk, recordsFail</t>
        </is>
      </c>
      <c r="F18" s="42" t="inlineStr">
        <is>
          <t>บันทึกทุกครั้งแม้ไฟล์ล้มเหลวทั้งไฟล์ (FR-71)</t>
        </is>
      </c>
    </row>
    <row r="19">
      <c r="B19" s="35" t="inlineStr">
        <is>
          <t>UI-7 ผลลัพธ์ CLO</t>
        </is>
      </c>
      <c r="C19" s="70" t="inlineStr">
        <is>
          <t>คะแนน CLO รายบุคคล</t>
        </is>
      </c>
      <c r="D19" s="13" t="inlineStr">
        <is>
          <t>— ไม่เก็บ —</t>
        </is>
      </c>
      <c r="E19" s="71" t="inlineStr">
        <is>
          <t>คำนวณ (CR-03)</t>
        </is>
      </c>
      <c r="F19" s="35" t="inlineStr">
        <is>
          <t>อ่านจาก Score + AssessmentCriteria สด ๆ</t>
        </is>
      </c>
    </row>
    <row r="20">
      <c r="B20" s="35" t="inlineStr">
        <is>
          <t>UI-7 ผลลัพธ์ CLO</t>
        </is>
      </c>
      <c r="C20" s="70" t="inlineStr">
        <is>
          <t>คะแนนรวม / ผ่านวิชา</t>
        </is>
      </c>
      <c r="D20" s="13" t="inlineStr">
        <is>
          <t>— ไม่เก็บ —</t>
        </is>
      </c>
      <c r="E20" s="71" t="inlineStr">
        <is>
          <t>คำนวณ (CR-05)</t>
        </is>
      </c>
      <c r="F20" s="35" t="inlineStr"/>
    </row>
    <row r="21">
      <c r="B21" s="35" t="inlineStr">
        <is>
          <t>UI-7 ผลลัพธ์ CLO</t>
        </is>
      </c>
      <c r="C21" s="70" t="inlineStr">
        <is>
          <t>Attainment / บรรลุหรือไม่</t>
        </is>
      </c>
      <c r="D21" s="13" t="inlineStr">
        <is>
          <t>— ไม่เก็บ —</t>
        </is>
      </c>
      <c r="E21" s="71" t="inlineStr">
        <is>
          <t>คำนวณ (CR-04)</t>
        </is>
      </c>
      <c r="F21" s="35" t="inlineStr"/>
    </row>
    <row r="22">
      <c r="B22" s="35" t="inlineStr">
        <is>
          <t>UI-7 ผลลัพธ์ CLO</t>
        </is>
      </c>
      <c r="C22" s="70" t="inlineStr">
        <is>
          <t>สถานะ at-risk</t>
        </is>
      </c>
      <c r="D22" s="13" t="inlineStr">
        <is>
          <t>— ไม่เก็บ —</t>
        </is>
      </c>
      <c r="E22" s="71" t="inlineStr">
        <is>
          <t>คำนวณ (CR-05)</t>
        </is>
      </c>
      <c r="F22" s="35" t="inlineStr">
        <is>
          <t>มี CLO อย่างน้อย 1 ข้อต่ำกว่า threshold</t>
        </is>
      </c>
    </row>
    <row r="24">
      <c r="B24" s="16" t="inlineStr">
        <is>
          <t>แถวสีเขียวคือค่าที่ 'ไม่มีตารางเก็บ' — ระบบคำนวณใหม่ทุกครั้งที่แสดงผล ถ้าวันหนึ่งมีคนเสนอให้เก็บลงตารางเพื่อความเร็ว ต้องตอบให้ได้ก่อนว่าจะทำให้ค่าตรงกับคะแนนดิบเสมอได้อย่างไร</t>
        </is>
      </c>
    </row>
  </sheetData>
  <mergeCells count="1">
    <mergeCell ref="B24:F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2026-08-11T10:50:27Z</dcterms:created>
  <dcterms:modified xsi:type="dcterms:W3CDTF">2026-08-11T10:50:27Z</dcterms:modified>
</cp:coreProperties>
</file>